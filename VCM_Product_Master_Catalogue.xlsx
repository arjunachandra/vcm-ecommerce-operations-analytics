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MD 5\Desktop\"/>
    </mc:Choice>
  </mc:AlternateContent>
  <xr:revisionPtr revIDLastSave="0" documentId="13_ncr:1_{31EF2757-F1D8-4755-A9E0-90E53BFC76A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Master Data Catalogue" sheetId="1" r:id="rId1"/>
    <sheet name="Listing Checklist" sheetId="2" r:id="rId2"/>
    <sheet name="SEO &amp; Listing Notes" sheetId="3" state="hidden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/>
  <c r="D23" i="1"/>
  <c r="B29" i="2"/>
  <c r="B28" i="2"/>
  <c r="B27" i="2"/>
  <c r="B26" i="2"/>
  <c r="B24" i="2"/>
  <c r="H23" i="1"/>
  <c r="F23" i="1"/>
  <c r="B23" i="1"/>
</calcChain>
</file>

<file path=xl/sharedStrings.xml><?xml version="1.0" encoding="utf-8"?>
<sst xmlns="http://schemas.openxmlformats.org/spreadsheetml/2006/main" count="514" uniqueCount="292">
  <si>
    <t>🕉  VCM GIFTS — PRODUCT MASTER DATA CATALOGUE</t>
  </si>
  <si>
    <t>SKU Code</t>
  </si>
  <si>
    <t>Product Name</t>
  </si>
  <si>
    <t>Category</t>
  </si>
  <si>
    <t>Sub-Category</t>
  </si>
  <si>
    <t>Brand / Source</t>
  </si>
  <si>
    <t>Material</t>
  </si>
  <si>
    <t>Size / Dimensions</t>
  </si>
  <si>
    <t>Weight (gm)</t>
  </si>
  <si>
    <t>Colour / Finish</t>
  </si>
  <si>
    <t>Variants Available</t>
  </si>
  <si>
    <t>MRP (₹)</t>
  </si>
  <si>
    <t>Cost Price (₹)</t>
  </si>
  <si>
    <t>Gross Margin %</t>
  </si>
  <si>
    <t>Platform(s)</t>
  </si>
  <si>
    <t>Stock Status</t>
  </si>
  <si>
    <t>Image Available</t>
  </si>
  <si>
    <t>Last Updated</t>
  </si>
  <si>
    <t>Remarks / Notes</t>
  </si>
  <si>
    <t>VCM-MAL-001</t>
  </si>
  <si>
    <t>Tulsi Japa Mala 108+1 Beads (Standard)</t>
  </si>
  <si>
    <t>Malas &amp; Beads</t>
  </si>
  <si>
    <t>Japa Mala</t>
  </si>
  <si>
    <t>VCM Vrindavan</t>
  </si>
  <si>
    <t>Pure Tulsi Wood</t>
  </si>
  <si>
    <t>Length: 40 cm | Bead Ø: 8 mm</t>
  </si>
  <si>
    <t>Natural Brown</t>
  </si>
  <si>
    <t>Bead size: 6mm / 8mm / 10mm</t>
  </si>
  <si>
    <t>Amazon, Flipkart, IndiaMART</t>
  </si>
  <si>
    <t>In Stock</t>
  </si>
  <si>
    <t>Yes</t>
  </si>
  <si>
    <t>01-Jun-2026</t>
  </si>
  <si>
    <t>Bestseller; certify 'Original Vrindavan Tulsi' in listing</t>
  </si>
  <si>
    <t>VCM-MAL-002</t>
  </si>
  <si>
    <t>Tulsi Kanthi Mala (3-Strand Neck Mala)</t>
  </si>
  <si>
    <t>Kanthi Mala</t>
  </si>
  <si>
    <t>Length: 55 cm | Bead Ø: 5 mm</t>
  </si>
  <si>
    <t>1 strand / 2 strand / 3 strand</t>
  </si>
  <si>
    <t>Amazon, Flipkart</t>
  </si>
  <si>
    <t>Add 'Hare Krishna devotee wear' keyword</t>
  </si>
  <si>
    <t>VCM-MAL-003</t>
  </si>
  <si>
    <t>Silver-Capped Tulsi Japa Mala</t>
  </si>
  <si>
    <t>Tulsi Wood + German Silver</t>
  </si>
  <si>
    <t>Length: 42 cm | Bead Ø: 8 mm</t>
  </si>
  <si>
    <t>Brown + Silver</t>
  </si>
  <si>
    <t>Single size</t>
  </si>
  <si>
    <t>Amazon, Flipkart, Shopify</t>
  </si>
  <si>
    <t>Gift segment; premium listing with box packaging</t>
  </si>
  <si>
    <t>VCM-MAL-004</t>
  </si>
  <si>
    <t>Gomukhi Japa Bag (Bead Chanting Bag)</t>
  </si>
  <si>
    <t>Japa Bag</t>
  </si>
  <si>
    <t>Cotton Cloth</t>
  </si>
  <si>
    <t>Size: 22 × 17 cm</t>
  </si>
  <si>
    <t>Saffron / White / Red</t>
  </si>
  <si>
    <t>Saffron, White, Red</t>
  </si>
  <si>
    <t>Often bought with Japa Mala — list as 'Frequently Bought Together'</t>
  </si>
  <si>
    <t>VCM-IDL-001</t>
  </si>
  <si>
    <t>Radha Krishna Brass Idol (4 inch)</t>
  </si>
  <si>
    <t>Idols &amp; Deities</t>
  </si>
  <si>
    <t>Brass Idol</t>
  </si>
  <si>
    <t>Handcrafted Brass</t>
  </si>
  <si>
    <t>H: 4 in | W: 2.5 in | D: 1.5 in</t>
  </si>
  <si>
    <t>Antique Gold Finish</t>
  </si>
  <si>
    <t>4 inch / 6 inch / 8 inch</t>
  </si>
  <si>
    <t>Amazon, Flipkart, IndiaMART, Shopify</t>
  </si>
  <si>
    <t>Mention 'Made in Vrindavan by skilled artisans'</t>
  </si>
  <si>
    <t>VCM-IDL-002</t>
  </si>
  <si>
    <t>Laddu Gopal Idol with Poshak (3 inch)</t>
  </si>
  <si>
    <t>Marble/Resin Idol</t>
  </si>
  <si>
    <t>White Marble Dust + Resin</t>
  </si>
  <si>
    <t>H: 3 in</t>
  </si>
  <si>
    <t>White with multicolor dress</t>
  </si>
  <si>
    <t>Size 0 / 1 / 2 / 3</t>
  </si>
  <si>
    <t>Include poshak (outfit) in listing images; very high search volume</t>
  </si>
  <si>
    <t>VCM-IDL-003</t>
  </si>
  <si>
    <t>Shri Krishna Flute Playing Wall Hanging (Brass)</t>
  </si>
  <si>
    <t>Wall Decor</t>
  </si>
  <si>
    <t>Brass</t>
  </si>
  <si>
    <t>H: 12 in | W: 8 in</t>
  </si>
  <si>
    <t>Antique Brass</t>
  </si>
  <si>
    <t>Amazon, Shopify, IndiaMART</t>
  </si>
  <si>
    <t>Target 'home temple decor' + 'housewarming gift' keywords</t>
  </si>
  <si>
    <t>VCM-PUJ-001</t>
  </si>
  <si>
    <t>VCM Signature Puja Thali Set (7-piece)</t>
  </si>
  <si>
    <t>Puja Samagri</t>
  </si>
  <si>
    <t>Puja Thali</t>
  </si>
  <si>
    <t>Brass (Thali + Diya + Bell + Kalash + Agarbatti Stand + Sindoor Box + Spoon)</t>
  </si>
  <si>
    <t>Thali Ø: 10 in</t>
  </si>
  <si>
    <t>Brass / Gold Polish</t>
  </si>
  <si>
    <t>Standard set only</t>
  </si>
  <si>
    <t>High gifting potential; pack in gift box</t>
  </si>
  <si>
    <t>VCM-PUJ-002</t>
  </si>
  <si>
    <t>Natural Dhoop Cone (Vrindavan Fragrance) — Box of 50</t>
  </si>
  <si>
    <t>Incense / Dhoop</t>
  </si>
  <si>
    <t>Natural herbs, Cow dung, Sandalwood</t>
  </si>
  <si>
    <t>Cone H: 3 cm | Box: 50 cones</t>
  </si>
  <si>
    <t>Beige / Earthy</t>
  </si>
  <si>
    <t>50 / 100 / 200 cone packs</t>
  </si>
  <si>
    <t>Add 'chemical-free', 'cow dung base' — strong USP vs competitors</t>
  </si>
  <si>
    <t>VCM-PUJ-003</t>
  </si>
  <si>
    <t>Panchamrit Set (5 Sacred Ingredients Kit)</t>
  </si>
  <si>
    <t>Puja Kit</t>
  </si>
  <si>
    <t>Stainless Steel containers + ingredients</t>
  </si>
  <si>
    <t>Box: 18 × 12 × 8 cm</t>
  </si>
  <si>
    <t>Silver / White box</t>
  </si>
  <si>
    <t>Single kit</t>
  </si>
  <si>
    <t>Festival season spike (Janmashtami, Diwali); stock up in Oct</t>
  </si>
  <si>
    <t>VCM-BKS-001</t>
  </si>
  <si>
    <t>Bhagavad Gita As It Is (English) — Prabhupada</t>
  </si>
  <si>
    <t>Books &amp; Media</t>
  </si>
  <si>
    <t>Spiritual Book</t>
  </si>
  <si>
    <t>ISKCON / BBT</t>
  </si>
  <si>
    <t>Paper (Hardcover)</t>
  </si>
  <si>
    <t>Size: 21 × 14 × 3 cm | Pages: 924</t>
  </si>
  <si>
    <t>Maroon / Gold cover</t>
  </si>
  <si>
    <t>English / Hindi / Gujarati / Tamil</t>
  </si>
  <si>
    <t>Official BBT edition; mention ISBN; very high organic search</t>
  </si>
  <si>
    <t>VCM-BKS-002</t>
  </si>
  <si>
    <t>Krishna — The Supreme Personality of Godhead (Set of 2 Vol)</t>
  </si>
  <si>
    <t>Size: 22 × 15 × 5 cm | Pages: 1200 (total)</t>
  </si>
  <si>
    <t>Blue / Gold cover</t>
  </si>
  <si>
    <t>English only</t>
  </si>
  <si>
    <t>Bundle with Bhagavad Gita for combo deal listing</t>
  </si>
  <si>
    <t>VCM-APP-001</t>
  </si>
  <si>
    <t>Hare Krishna Kurta (Men — Cotton, Saffron)</t>
  </si>
  <si>
    <t>Apparel</t>
  </si>
  <si>
    <t>Kurta</t>
  </si>
  <si>
    <t>100% Cotton</t>
  </si>
  <si>
    <t>Chest: S(38)/M(40)/L(42)/XL(44)/XXL(46)</t>
  </si>
  <si>
    <t>Saffron</t>
  </si>
  <si>
    <t>S, M, L, XL, XXL</t>
  </si>
  <si>
    <t>Create separate parent-child ASIN per size on Amazon</t>
  </si>
  <si>
    <t>VCM-APP-002</t>
  </si>
  <si>
    <t>Radha-print Gopi Dress (Women — Cotton, Red/Blue)</t>
  </si>
  <si>
    <t>Gopi Dress</t>
  </si>
  <si>
    <t>S / M / L / XL / Free size</t>
  </si>
  <si>
    <t>Red, Blue, Yellow (3 colors)</t>
  </si>
  <si>
    <t>S, M, L, XL, Free Size × 3 colors</t>
  </si>
  <si>
    <t>Multi-variant listing; Janmashtami demand spike in Aug</t>
  </si>
  <si>
    <t>VCM-GFT-001</t>
  </si>
  <si>
    <t>VCM Devotional Starter Kit (Mala + Bag + Dhoop + Booklet)</t>
  </si>
  <si>
    <t>Gift Kits</t>
  </si>
  <si>
    <t>Combo Gift Kit</t>
  </si>
  <si>
    <t>Assorted (see individual SKUs)</t>
  </si>
  <si>
    <t>Box: 22 × 18 × 8 cm</t>
  </si>
  <si>
    <t>Kraft / Saffron Gift Box</t>
  </si>
  <si>
    <t>Single variant</t>
  </si>
  <si>
    <t>No — Pending</t>
  </si>
  <si>
    <t>Image pending; do NOT list until proper image received</t>
  </si>
  <si>
    <t>VCM-GFT-002</t>
  </si>
  <si>
    <t>Vrindavan Prasad Gift Box (Peda 250g + Panchamrit Kit)</t>
  </si>
  <si>
    <t>Prasad Gift Box</t>
  </si>
  <si>
    <t>Food (Khoya Peda) + Stainless Steel components</t>
  </si>
  <si>
    <t>Box: 20 × 15 × 10 cm | Net Wt: 350 gm</t>
  </si>
  <si>
    <t>White with VCM logo print</t>
  </si>
  <si>
    <t>250g / 500g peda variants</t>
  </si>
  <si>
    <t>Amazon (Fresh / Pantry), Flipkart, Shopify</t>
  </si>
  <si>
    <t>FSSAI license required before listing food items on Amazon</t>
  </si>
  <si>
    <t>VCM-GFT-003</t>
  </si>
  <si>
    <t>Srila Prabhupada Collector's Set (Book + Incense + Portrait)</t>
  </si>
  <si>
    <t>Collector Gift Set</t>
  </si>
  <si>
    <t>VCM Vrindavan / ISKCON</t>
  </si>
  <si>
    <t>Hardcover Book + Incense + Photo Print</t>
  </si>
  <si>
    <t>Box: 26 × 20 × 8 cm</t>
  </si>
  <si>
    <t>Maroon Gift Box</t>
  </si>
  <si>
    <t>Shopify, IndiaMART, Amazon</t>
  </si>
  <si>
    <t>Low Stock (8 units)</t>
  </si>
  <si>
    <t>Update stock weekly; premium positioning — do not discount</t>
  </si>
  <si>
    <t>📊  CATALOGUE SUMMARY</t>
  </si>
  <si>
    <t>Total SKUs</t>
  </si>
  <si>
    <t>Image Missing</t>
  </si>
  <si>
    <t>Avg Margin %</t>
  </si>
  <si>
    <t>Purpose: Ensure EVERY product meets listing quality standards before going LIVE  |  Last Reviewed: 12 Jun 2026</t>
  </si>
  <si>
    <t>🟢 Done = Completed &amp; Verified    🟡 WIP = In Progress    🔴 Pending = Not Started    N/A = Not Applicable for this SKU</t>
  </si>
  <si>
    <t>SECTION A
Product Info
Complete?</t>
  </si>
  <si>
    <t>SECTION B
Title &amp; SEO
Optimized?</t>
  </si>
  <si>
    <t>SECTION C
Images
Ready?</t>
  </si>
  <si>
    <t>SECTION D
Pricing &amp;
Margin OK?</t>
  </si>
  <si>
    <t>SECTION E
Stock Updated
in System?</t>
  </si>
  <si>
    <t>SECTION F
Compliance
Cleared?</t>
  </si>
  <si>
    <t>Overall
Status</t>
  </si>
  <si>
    <t>Remarks / Next Action</t>
  </si>
  <si>
    <t>✅ Done</t>
  </si>
  <si>
    <t>🟢 LIVE</t>
  </si>
  <si>
    <t>Live on all platforms</t>
  </si>
  <si>
    <t>Tulsi Kanthi Mala (3-Strand)</t>
  </si>
  <si>
    <t>🟡 WIP</t>
  </si>
  <si>
    <t>🟡 In Review</t>
  </si>
  <si>
    <t>Title keyword update pending</t>
  </si>
  <si>
    <t>Gomukhi Japa Bag</t>
  </si>
  <si>
    <t>N/A</t>
  </si>
  <si>
    <t>Best seller combo with mala</t>
  </si>
  <si>
    <t>Top revenue SKU</t>
  </si>
  <si>
    <t>Variant matrix being updated</t>
  </si>
  <si>
    <t>Shri Krishna Flute Wall Hanging (Brass)</t>
  </si>
  <si>
    <t>🔴 Pending</t>
  </si>
  <si>
    <t>🔴 Blocked</t>
  </si>
  <si>
    <t>Lifestyle image pending from photographer</t>
  </si>
  <si>
    <t>Festival pack version needed Q4</t>
  </si>
  <si>
    <t>Natural Dhoop Cone Box of 50</t>
  </si>
  <si>
    <t>Stock count discrepancy — recheck warehouse</t>
  </si>
  <si>
    <t>Panchamrit Set</t>
  </si>
  <si>
    <t>Festival stock top-up needed by Sep</t>
  </si>
  <si>
    <t>Bhagavad Gita As It Is (English)</t>
  </si>
  <si>
    <t>All 4 language editions live</t>
  </si>
  <si>
    <t>Krishna — Supreme Personality (2 Vol Set)</t>
  </si>
  <si>
    <t>Hindi edition listing in progress</t>
  </si>
  <si>
    <t>Hare Krishna Kurta (Men, Saffron)</t>
  </si>
  <si>
    <t>Variant size S stock out — flagged</t>
  </si>
  <si>
    <t>Radha-print Gopi Dress (Women)</t>
  </si>
  <si>
    <t>Color-wise images not ready yet</t>
  </si>
  <si>
    <t>VCM Devotional Starter Kit</t>
  </si>
  <si>
    <t>New bundle — all fields TBD</t>
  </si>
  <si>
    <t>Vrindavan Prasad Gift Box</t>
  </si>
  <si>
    <t>FSSAI number verification in progress</t>
  </si>
  <si>
    <t>Srila Prabhupada Collector's Set</t>
  </si>
  <si>
    <t>Low stock alert: reorder triggered</t>
  </si>
  <si>
    <t>Total SKUs Tracked</t>
  </si>
  <si>
    <t>Images Pending</t>
  </si>
  <si>
    <t>Compliance Pending</t>
  </si>
  <si>
    <t>📝  VCM GIFTS — SEO &amp; LISTING GUIDELINES (Quick Reference)</t>
  </si>
  <si>
    <t>SECTION A — PRODUCT INFORMATION</t>
  </si>
  <si>
    <t>SKU Code format</t>
  </si>
  <si>
    <t>VCM-[CAT]-[NNN]  e.g. VCM-MAL-001, VCM-IDL-003. Keep consistent across all platforms.</t>
  </si>
  <si>
    <t>Category mapping</t>
  </si>
  <si>
    <t>Amazon: 'Prayer Beads', 'Idols &amp; Figurines', 'Incense Sticks'
Flipcart: 'Puja Essentials', 'Devotional'
IndiaMART: 'Religious &amp; Spiritual Products'</t>
  </si>
  <si>
    <t>Variants</t>
  </si>
  <si>
    <t>Create Parent–Child ASINs for items with Size/Color variants. Never list as separate products on Amazon.</t>
  </si>
  <si>
    <t>Material spec</t>
  </si>
  <si>
    <t>Always specify material precisely. 'Brass' not 'metal'. 'Pure Tulsi wood' not 'wood'. Reduces returns.</t>
  </si>
  <si>
    <t>SECTION B — TITLE &amp; SEO (Amazon Formula)</t>
  </si>
  <si>
    <t>Title format</t>
  </si>
  <si>
    <t>[Brand] + [Product Name] + [Key Spec] + [Key Benefit]
Example: 'VCM Vrindavan Original Tulsi Japa Mala 108+1 Beads | 8mm Beads | Handmade | ISKCON Certified'</t>
  </si>
  <si>
    <t>Title length</t>
  </si>
  <si>
    <t>60–200 characters for Amazon. Do NOT exceed 200 chars. Flipkart: 70–100 chars ideal.</t>
  </si>
  <si>
    <t>Top keywords</t>
  </si>
  <si>
    <t>tulsi mala, japa mala 108 beads, vrindavan mala, iskcon products, radha krishna gift, puja items online, hare krishna</t>
  </si>
  <si>
    <t>Bullet points</t>
  </si>
  <si>
    <t>5 bullet points. Start each with a CAPS keyword.
• AUTHENTIC VRINDAVAN: Made in Vrindavan by skilled artisans
• PURE TULSI: Sourced from sacred Vrindavan Tulsi plants
• PERFECT GIFT: Ideal for devotees, festivals, housewarming</t>
  </si>
  <si>
    <t>Description</t>
  </si>
  <si>
    <t>Start with a spiritual context sentence. Then product specs. Then usage + care. Max 2000 chars on Amazon.</t>
  </si>
  <si>
    <t>SECTION C — IMAGE CHECKLIST</t>
  </si>
  <si>
    <t>Min images</t>
  </si>
  <si>
    <t>Amazon minimum: 1 image. Recommended: 6–7 images per listing. Flipkart: 4+ images.</t>
  </si>
  <si>
    <t>Main image</t>
  </si>
  <si>
    <t>White background ONLY. Product fills 85%+ of frame. No text, logos, or watermarks on main image.</t>
  </si>
  <si>
    <t>Supporting images</t>
  </si>
  <si>
    <t>1. Close-up texture/material  2. Size comparison with hand  3. Lifestyle/in-use photo  4. Back/side view  5. Packaging shot  6. Infographic with features</t>
  </si>
  <si>
    <t>Resolution</t>
  </si>
  <si>
    <t>Minimum 1000×1000 px (to enable zoom). Ideal: 2000×2000 px. JPEG or PNG format.</t>
  </si>
  <si>
    <t>For apparel</t>
  </si>
  <si>
    <t>Must have 1 flat-lay + 1 modelled photo. Show all color variants. Size chart as one image.</t>
  </si>
  <si>
    <t>SECTION D — PRICING RULES</t>
  </si>
  <si>
    <t>MRP rule</t>
  </si>
  <si>
    <t>Never list below MRP. Ensure MRP on product = MRP on listing. Mismatch causes listing suppression.</t>
  </si>
  <si>
    <t>Competitive check</t>
  </si>
  <si>
    <t>Check top 3 competitors monthly. Adjust if margin allows. Do not get into price war on commodity items.</t>
  </si>
  <si>
    <t>Festival pricing</t>
  </si>
  <si>
    <t>Prepare 10–15% promotional price for Janmashtami (Aug), Diwali (Oct), Holi (Mar). Plan 3 weeks ahead.</t>
  </si>
  <si>
    <t>Bundle pricing</t>
  </si>
  <si>
    <t>Bundle SKU MRP must be ≤ sum of individual SKU MRPs. Bundle should offer ≥5% saving to customer.</t>
  </si>
  <si>
    <t>SECTION E — STOCK &amp; MIS</t>
  </si>
  <si>
    <t>Update frequency</t>
  </si>
  <si>
    <t>Update stock levels in master sheet DAILY. Update listing status if stock &lt; reorder level.</t>
  </si>
  <si>
    <t>Reorder trigger</t>
  </si>
  <si>
    <t>Set reorder level at 2-weeks of average daily sales. Flag in red in MIS sheet.</t>
  </si>
  <si>
    <t>Out-of-stock rule</t>
  </si>
  <si>
    <t>Pause listing (not delete) when stock = 0. Resume within 24hr of stock receiving.</t>
  </si>
  <si>
    <t>MIS columns required</t>
  </si>
  <si>
    <t>SKU | Product | Platform | Opening Stock | Units Sold | Closing Stock | Reorder Level | Reorder Date</t>
  </si>
  <si>
    <t>SECTION F — COMPLIANCE</t>
  </si>
  <si>
    <t>Amazon requirements</t>
  </si>
  <si>
    <t>Legal importer name + address in listing. Country of Origin mandatory. GST number needed to sell.</t>
  </si>
  <si>
    <t>Food items</t>
  </si>
  <si>
    <t>FSSAI license MANDATORY for prasad/food items. Expiry date on packaging AND listing. Shelf life in description.</t>
  </si>
  <si>
    <t>Books</t>
  </si>
  <si>
    <t>ISBN number in listing. Publisher = BBT (Bhaktivedanta Book Trust). Edition year.</t>
  </si>
  <si>
    <t>Care label and fabric composition % in listing. Size chart image mandatory.</t>
  </si>
  <si>
    <t>Religious items</t>
  </si>
  <si>
    <t>Brass/metal items — mention BIS/hallmark if applicable. For Tulsi: mention 'Original' only if verifiable.</t>
  </si>
  <si>
    <t xml:space="preserve"> LIVE</t>
  </si>
  <si>
    <t xml:space="preserve"> In Review</t>
  </si>
  <si>
    <t xml:space="preserve"> Blocked</t>
  </si>
  <si>
    <t>Not Ready</t>
  </si>
  <si>
    <t>In Review</t>
  </si>
  <si>
    <t>Pending</t>
  </si>
  <si>
    <t>WIP</t>
  </si>
  <si>
    <t xml:space="preserve"> WIP</t>
  </si>
  <si>
    <t>Blocked / Not Ready</t>
  </si>
  <si>
    <t xml:space="preserve">  LISTING STATUS SUMMARY</t>
  </si>
  <si>
    <t xml:space="preserve"> VCM GIFTS — PRODUCT LISTING CHECKLIST (Amazon / Flipkart / IndiaMART / Shopify)</t>
  </si>
  <si>
    <t>Vrindavan Chandrodaya Mandir  |  Prepared by: [Arjun Chandra]  |  Date: 12 Jun 2026  |  Version: 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</si>
</sst>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%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9"/>
      <color rgb="FF2F2F2F"/>
      <name val="Arial"/>
      <charset val="1"/>
    </font>
    <font>
      <b/>
      <sz val="10"/>
      <color rgb="FFFFFFFF"/>
      <name val="Arial"/>
      <charset val="1"/>
    </font>
    <font>
      <sz val="10"/>
      <color rgb="FF2F2F2F"/>
      <name val="Arial"/>
      <charset val="1"/>
    </font>
    <font>
      <b/>
      <sz val="10"/>
      <color rgb="FF375623"/>
      <name val="Arial"/>
      <charset val="1"/>
    </font>
    <font>
      <b/>
      <sz val="10"/>
      <color rgb="FFC00000"/>
      <name val="Arial"/>
      <charset val="1"/>
    </font>
    <font>
      <b/>
      <sz val="11"/>
      <color rgb="FFFFFFFF"/>
      <name val="Arial"/>
      <charset val="1"/>
    </font>
    <font>
      <b/>
      <sz val="9"/>
      <color rgb="FF2F2F2F"/>
      <name val="Arial"/>
      <charset val="1"/>
    </font>
    <font>
      <b/>
      <sz val="10"/>
      <color rgb="FF1F4E79"/>
      <name val="Arial"/>
      <charset val="1"/>
    </font>
    <font>
      <b/>
      <sz val="14"/>
      <color rgb="FFFFFFFF"/>
      <name val="Arial"/>
      <charset val="1"/>
    </font>
    <font>
      <sz val="9"/>
      <color rgb="FF2F2F2F"/>
      <name val="Arial"/>
      <charset val="1"/>
    </font>
    <font>
      <b/>
      <sz val="9"/>
      <color rgb="FFFFFFFF"/>
      <name val="Arial"/>
      <charset val="1"/>
    </font>
    <font>
      <b/>
      <sz val="10"/>
      <color rgb="FF2F2F2F"/>
      <name val="Arial"/>
      <charset val="1"/>
    </font>
    <font>
      <b/>
      <sz val="10"/>
      <color rgb="FF217346"/>
      <name val="Arial"/>
      <charset val="1"/>
    </font>
    <font>
      <i/>
      <sz val="9"/>
      <color rgb="FF6B6B6B"/>
      <name val="Arial"/>
      <charset val="1"/>
    </font>
    <font>
      <sz val="10"/>
      <color rgb="FF7F6000"/>
      <name val="Arial"/>
      <charset val="1"/>
    </font>
    <font>
      <sz val="10"/>
      <color rgb="FFC00000"/>
      <name val="Arial"/>
      <charset val="1"/>
    </font>
    <font>
      <b/>
      <sz val="11"/>
      <color rgb="FF2F2F2F"/>
      <name val="Arial"/>
      <charset val="1"/>
    </font>
    <font>
      <b/>
      <sz val="13"/>
      <color rgb="FFFFFFFF"/>
      <name val="Arial"/>
      <charset val="1"/>
    </font>
  </fonts>
  <fills count="25">
    <fill>
      <patternFill patternType="none"/>
    </fill>
    <fill>
      <patternFill patternType="gray125"/>
    </fill>
    <fill>
      <patternFill patternType="solid">
        <fgColor rgb="FFFF6B00"/>
        <bgColor rgb="FFCC5500"/>
      </patternFill>
    </fill>
    <fill>
      <patternFill patternType="solid">
        <fgColor rgb="FFFFF8DC"/>
        <bgColor rgb="FFFFFAF0"/>
      </patternFill>
    </fill>
    <fill>
      <patternFill patternType="solid">
        <fgColor rgb="FF1F4E79"/>
        <bgColor rgb="FF2F5496"/>
      </patternFill>
    </fill>
    <fill>
      <patternFill patternType="solid">
        <fgColor rgb="FFFFFAF0"/>
        <bgColor rgb="FFFFFFFF"/>
      </patternFill>
    </fill>
    <fill>
      <patternFill patternType="solid">
        <fgColor rgb="FFFFFFFF"/>
        <bgColor rgb="FFFFFAF0"/>
      </patternFill>
    </fill>
    <fill>
      <patternFill patternType="solid">
        <fgColor rgb="FFFCE4D6"/>
        <bgColor rgb="FFFFF8DC"/>
      </patternFill>
    </fill>
    <fill>
      <patternFill patternType="solid">
        <fgColor rgb="FFCC5500"/>
        <bgColor rgb="FFFF6B00"/>
      </patternFill>
    </fill>
    <fill>
      <patternFill patternType="solid">
        <fgColor rgb="FFF5F5F5"/>
        <bgColor rgb="FFFFFAF0"/>
      </patternFill>
    </fill>
    <fill>
      <patternFill patternType="solid">
        <fgColor rgb="FF2E75B6"/>
        <bgColor rgb="FF2F5496"/>
      </patternFill>
    </fill>
    <fill>
      <patternFill patternType="solid">
        <fgColor rgb="FF375623"/>
        <bgColor rgb="FF217346"/>
      </patternFill>
    </fill>
    <fill>
      <patternFill patternType="solid">
        <fgColor rgb="FF833C00"/>
        <bgColor rgb="FF7F6000"/>
      </patternFill>
    </fill>
    <fill>
      <patternFill patternType="solid">
        <fgColor rgb="FF2F2F2F"/>
        <bgColor rgb="FF003300"/>
      </patternFill>
    </fill>
    <fill>
      <patternFill patternType="solid">
        <fgColor rgb="FFE2EFDA"/>
        <bgColor rgb="FFF5F5F5"/>
      </patternFill>
    </fill>
    <fill>
      <patternFill patternType="solid">
        <fgColor rgb="FFFFEB9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theme="3"/>
        <bgColor rgb="FF2F5496"/>
      </patternFill>
    </fill>
    <fill>
      <patternFill patternType="solid">
        <fgColor theme="3"/>
        <bgColor rgb="FF1F4E79"/>
      </patternFill>
    </fill>
    <fill>
      <patternFill patternType="solid">
        <fgColor theme="3"/>
        <bgColor rgb="FF217346"/>
      </patternFill>
    </fill>
    <fill>
      <patternFill patternType="solid">
        <fgColor theme="3"/>
        <bgColor rgb="FF7F6000"/>
      </patternFill>
    </fill>
    <fill>
      <patternFill patternType="solid">
        <fgColor theme="3"/>
        <bgColor rgb="FF003300"/>
      </patternFill>
    </fill>
    <fill>
      <patternFill patternType="solid">
        <fgColor theme="3"/>
        <bgColor rgb="FF375623"/>
      </patternFill>
    </fill>
    <fill>
      <patternFill patternType="solid">
        <fgColor theme="3"/>
        <bgColor rgb="FF833C00"/>
      </patternFill>
    </fill>
    <fill>
      <patternFill patternType="solid">
        <fgColor theme="3"/>
        <bgColor rgb="FF8000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14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6" fillId="15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2" fillId="18" borderId="1" xfId="0" applyFont="1" applyFill="1" applyBorder="1" applyAlignment="1">
      <alignment horizontal="center" vertical="center" wrapText="1"/>
    </xf>
    <xf numFmtId="0" fontId="12" fillId="19" borderId="1" xfId="0" applyFont="1" applyFill="1" applyBorder="1" applyAlignment="1">
      <alignment horizontal="center"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2" fillId="21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12" fillId="22" borderId="1" xfId="0" applyFont="1" applyFill="1" applyBorder="1" applyAlignment="1">
      <alignment horizontal="left" vertical="center" wrapText="1"/>
    </xf>
    <xf numFmtId="0" fontId="12" fillId="23" borderId="1" xfId="0" applyFont="1" applyFill="1" applyBorder="1" applyAlignment="1">
      <alignment horizontal="left" vertical="center" wrapText="1"/>
    </xf>
    <xf numFmtId="0" fontId="12" fillId="24" borderId="1" xfId="0" applyFont="1" applyFill="1" applyBorder="1" applyAlignment="1">
      <alignment horizontal="left" vertical="center" wrapText="1"/>
    </xf>
    <xf numFmtId="0" fontId="12" fillId="20" borderId="1" xfId="0" applyFont="1" applyFill="1" applyBorder="1" applyAlignment="1">
      <alignment horizontal="left" vertical="center" wrapText="1"/>
    </xf>
    <xf numFmtId="0" fontId="12" fillId="18" borderId="1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7" fillId="8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1" fillId="9" borderId="0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217346"/>
      <rgbColor rgb="FFBFBFBF"/>
      <rgbColor rgb="FF808080"/>
      <rgbColor rgb="FF9999FF"/>
      <rgbColor rgb="FFCC5500"/>
      <rgbColor rgb="FFFFF8DC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AF0"/>
      <rgbColor rgb="FFE2EFDA"/>
      <rgbColor rgb="FFFFEB9C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B00"/>
      <rgbColor rgb="FF6B6B6B"/>
      <rgbColor rgb="FF969696"/>
      <rgbColor rgb="FF1F4E79"/>
      <rgbColor rgb="FF339966"/>
      <rgbColor rgb="FF003300"/>
      <rgbColor rgb="FF375623"/>
      <rgbColor rgb="FF833C00"/>
      <rgbColor rgb="FF993366"/>
      <rgbColor rgb="FF2F5496"/>
      <rgbColor rgb="FF2F2F2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showGridLines="0" tabSelected="1" zoomScaleNormal="100" workbookViewId="0">
      <pane ySplit="3" topLeftCell="A4" activePane="bottomLeft" state="frozen"/>
      <selection pane="bottomLeft" activeCell="B8" sqref="B8"/>
    </sheetView>
  </sheetViews>
  <sheetFormatPr defaultColWidth="8.7109375" defaultRowHeight="15" x14ac:dyDescent="0.25"/>
  <cols>
    <col min="1" max="1" width="13.28515625" style="1" bestFit="1" customWidth="1"/>
    <col min="2" max="2" width="54" style="1" bestFit="1" customWidth="1"/>
    <col min="3" max="3" width="13.85546875" style="1" bestFit="1" customWidth="1"/>
    <col min="4" max="4" width="15.42578125" style="1" bestFit="1" customWidth="1"/>
    <col min="5" max="5" width="15.5703125" style="1" bestFit="1" customWidth="1"/>
    <col min="6" max="6" width="27.140625" style="1" bestFit="1" customWidth="1"/>
    <col min="7" max="7" width="36.7109375" style="1" bestFit="1" customWidth="1"/>
    <col min="8" max="8" width="12" style="1" customWidth="1"/>
    <col min="9" max="9" width="19.85546875" style="1" bestFit="1" customWidth="1"/>
    <col min="10" max="10" width="27.85546875" style="1" bestFit="1" customWidth="1"/>
    <col min="11" max="11" width="7.85546875" style="1" bestFit="1" customWidth="1"/>
    <col min="12" max="12" width="10.7109375" style="1" bestFit="1" customWidth="1"/>
    <col min="13" max="13" width="9.28515625" style="1" bestFit="1" customWidth="1"/>
    <col min="14" max="14" width="33.28515625" style="1" bestFit="1" customWidth="1"/>
    <col min="15" max="15" width="12.42578125" style="1" bestFit="1" customWidth="1"/>
    <col min="16" max="16" width="14.140625" style="1" bestFit="1" customWidth="1"/>
    <col min="17" max="17" width="12.85546875" style="1" bestFit="1" customWidth="1"/>
    <col min="18" max="18" width="51.85546875" style="1" bestFit="1" customWidth="1"/>
  </cols>
  <sheetData>
    <row r="1" spans="1:18" ht="36" customHeight="1" x14ac:dyDescent="0.2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</row>
    <row r="2" spans="1:18" ht="18" customHeight="1" x14ac:dyDescent="0.25">
      <c r="A2" s="39" t="s">
        <v>291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6" customHeigh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</row>
    <row r="4" spans="1:18" ht="23.25" customHeight="1" x14ac:dyDescent="0.25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>
        <v>22</v>
      </c>
      <c r="I4" s="3" t="s">
        <v>26</v>
      </c>
      <c r="J4" s="3" t="s">
        <v>27</v>
      </c>
      <c r="K4" s="3">
        <v>299</v>
      </c>
      <c r="L4" s="3">
        <v>120</v>
      </c>
      <c r="M4" s="5">
        <v>59.9</v>
      </c>
      <c r="N4" s="3" t="s">
        <v>28</v>
      </c>
      <c r="O4" s="3" t="s">
        <v>29</v>
      </c>
      <c r="P4" s="3" t="s">
        <v>30</v>
      </c>
      <c r="Q4" s="4" t="s">
        <v>31</v>
      </c>
      <c r="R4" s="4" t="s">
        <v>32</v>
      </c>
    </row>
    <row r="5" spans="1:18" ht="23.25" customHeight="1" x14ac:dyDescent="0.25">
      <c r="A5" s="6" t="s">
        <v>33</v>
      </c>
      <c r="B5" s="7" t="s">
        <v>34</v>
      </c>
      <c r="C5" s="7" t="s">
        <v>21</v>
      </c>
      <c r="D5" s="7" t="s">
        <v>35</v>
      </c>
      <c r="E5" s="7" t="s">
        <v>23</v>
      </c>
      <c r="F5" s="7" t="s">
        <v>24</v>
      </c>
      <c r="G5" s="7" t="s">
        <v>36</v>
      </c>
      <c r="H5" s="7">
        <v>18</v>
      </c>
      <c r="I5" s="6" t="s">
        <v>26</v>
      </c>
      <c r="J5" s="6" t="s">
        <v>37</v>
      </c>
      <c r="K5" s="6">
        <v>199</v>
      </c>
      <c r="L5" s="6">
        <v>75</v>
      </c>
      <c r="M5" s="8">
        <v>62.3</v>
      </c>
      <c r="N5" s="6" t="s">
        <v>38</v>
      </c>
      <c r="O5" s="6" t="s">
        <v>29</v>
      </c>
      <c r="P5" s="6" t="s">
        <v>30</v>
      </c>
      <c r="Q5" s="7" t="s">
        <v>31</v>
      </c>
      <c r="R5" s="7" t="s">
        <v>39</v>
      </c>
    </row>
    <row r="6" spans="1:18" ht="23.25" customHeight="1" x14ac:dyDescent="0.25">
      <c r="A6" s="3" t="s">
        <v>40</v>
      </c>
      <c r="B6" s="4" t="s">
        <v>41</v>
      </c>
      <c r="C6" s="4" t="s">
        <v>21</v>
      </c>
      <c r="D6" s="4" t="s">
        <v>22</v>
      </c>
      <c r="E6" s="4" t="s">
        <v>23</v>
      </c>
      <c r="F6" s="4" t="s">
        <v>42</v>
      </c>
      <c r="G6" s="4" t="s">
        <v>43</v>
      </c>
      <c r="H6" s="4">
        <v>35</v>
      </c>
      <c r="I6" s="3" t="s">
        <v>44</v>
      </c>
      <c r="J6" s="3" t="s">
        <v>45</v>
      </c>
      <c r="K6" s="3">
        <v>599</v>
      </c>
      <c r="L6" s="3">
        <v>230</v>
      </c>
      <c r="M6" s="5">
        <v>61.6</v>
      </c>
      <c r="N6" s="3" t="s">
        <v>46</v>
      </c>
      <c r="O6" s="3" t="s">
        <v>29</v>
      </c>
      <c r="P6" s="3" t="s">
        <v>30</v>
      </c>
      <c r="Q6" s="4" t="s">
        <v>31</v>
      </c>
      <c r="R6" s="4" t="s">
        <v>47</v>
      </c>
    </row>
    <row r="7" spans="1:18" ht="34.5" customHeight="1" x14ac:dyDescent="0.25">
      <c r="A7" s="6" t="s">
        <v>48</v>
      </c>
      <c r="B7" s="7" t="s">
        <v>49</v>
      </c>
      <c r="C7" s="7" t="s">
        <v>21</v>
      </c>
      <c r="D7" s="7" t="s">
        <v>50</v>
      </c>
      <c r="E7" s="7" t="s">
        <v>23</v>
      </c>
      <c r="F7" s="7" t="s">
        <v>51</v>
      </c>
      <c r="G7" s="7" t="s">
        <v>52</v>
      </c>
      <c r="H7" s="7">
        <v>40</v>
      </c>
      <c r="I7" s="6" t="s">
        <v>53</v>
      </c>
      <c r="J7" s="6" t="s">
        <v>54</v>
      </c>
      <c r="K7" s="6">
        <v>149</v>
      </c>
      <c r="L7" s="6">
        <v>55</v>
      </c>
      <c r="M7" s="8">
        <v>63.1</v>
      </c>
      <c r="N7" s="6" t="s">
        <v>28</v>
      </c>
      <c r="O7" s="6" t="s">
        <v>29</v>
      </c>
      <c r="P7" s="6" t="s">
        <v>30</v>
      </c>
      <c r="Q7" s="7" t="s">
        <v>31</v>
      </c>
      <c r="R7" s="7" t="s">
        <v>55</v>
      </c>
    </row>
    <row r="8" spans="1:18" ht="23.25" customHeight="1" x14ac:dyDescent="0.25">
      <c r="A8" s="3" t="s">
        <v>56</v>
      </c>
      <c r="B8" s="4" t="s">
        <v>57</v>
      </c>
      <c r="C8" s="4" t="s">
        <v>58</v>
      </c>
      <c r="D8" s="4" t="s">
        <v>59</v>
      </c>
      <c r="E8" s="4" t="s">
        <v>23</v>
      </c>
      <c r="F8" s="4" t="s">
        <v>60</v>
      </c>
      <c r="G8" s="4" t="s">
        <v>61</v>
      </c>
      <c r="H8" s="4">
        <v>280</v>
      </c>
      <c r="I8" s="3" t="s">
        <v>62</v>
      </c>
      <c r="J8" s="3" t="s">
        <v>63</v>
      </c>
      <c r="K8" s="3">
        <v>1499</v>
      </c>
      <c r="L8" s="3">
        <v>650</v>
      </c>
      <c r="M8" s="5">
        <v>56.6</v>
      </c>
      <c r="N8" s="3" t="s">
        <v>64</v>
      </c>
      <c r="O8" s="3" t="s">
        <v>29</v>
      </c>
      <c r="P8" s="3" t="s">
        <v>30</v>
      </c>
      <c r="Q8" s="4" t="s">
        <v>31</v>
      </c>
      <c r="R8" s="4" t="s">
        <v>65</v>
      </c>
    </row>
    <row r="9" spans="1:18" ht="34.5" customHeight="1" x14ac:dyDescent="0.25">
      <c r="A9" s="6" t="s">
        <v>66</v>
      </c>
      <c r="B9" s="7" t="s">
        <v>67</v>
      </c>
      <c r="C9" s="7" t="s">
        <v>58</v>
      </c>
      <c r="D9" s="7" t="s">
        <v>68</v>
      </c>
      <c r="E9" s="7" t="s">
        <v>23</v>
      </c>
      <c r="F9" s="7" t="s">
        <v>69</v>
      </c>
      <c r="G9" s="7" t="s">
        <v>70</v>
      </c>
      <c r="H9" s="7">
        <v>120</v>
      </c>
      <c r="I9" s="6" t="s">
        <v>71</v>
      </c>
      <c r="J9" s="6" t="s">
        <v>72</v>
      </c>
      <c r="K9" s="6">
        <v>799</v>
      </c>
      <c r="L9" s="6">
        <v>300</v>
      </c>
      <c r="M9" s="8">
        <v>62.5</v>
      </c>
      <c r="N9" s="6" t="s">
        <v>38</v>
      </c>
      <c r="O9" s="6" t="s">
        <v>29</v>
      </c>
      <c r="P9" s="6" t="s">
        <v>30</v>
      </c>
      <c r="Q9" s="7" t="s">
        <v>31</v>
      </c>
      <c r="R9" s="7" t="s">
        <v>73</v>
      </c>
    </row>
    <row r="10" spans="1:18" ht="23.25" customHeight="1" x14ac:dyDescent="0.25">
      <c r="A10" s="3" t="s">
        <v>74</v>
      </c>
      <c r="B10" s="4" t="s">
        <v>75</v>
      </c>
      <c r="C10" s="4" t="s">
        <v>58</v>
      </c>
      <c r="D10" s="4" t="s">
        <v>76</v>
      </c>
      <c r="E10" s="4" t="s">
        <v>23</v>
      </c>
      <c r="F10" s="4" t="s">
        <v>77</v>
      </c>
      <c r="G10" s="4" t="s">
        <v>78</v>
      </c>
      <c r="H10" s="4">
        <v>450</v>
      </c>
      <c r="I10" s="3" t="s">
        <v>79</v>
      </c>
      <c r="J10" s="3" t="s">
        <v>45</v>
      </c>
      <c r="K10" s="3">
        <v>2199</v>
      </c>
      <c r="L10" s="3">
        <v>900</v>
      </c>
      <c r="M10" s="5">
        <v>59.1</v>
      </c>
      <c r="N10" s="3" t="s">
        <v>80</v>
      </c>
      <c r="O10" s="3" t="s">
        <v>29</v>
      </c>
      <c r="P10" s="3" t="s">
        <v>30</v>
      </c>
      <c r="Q10" s="4" t="s">
        <v>31</v>
      </c>
      <c r="R10" s="4" t="s">
        <v>81</v>
      </c>
    </row>
    <row r="11" spans="1:18" ht="57" customHeight="1" x14ac:dyDescent="0.25">
      <c r="A11" s="6" t="s">
        <v>82</v>
      </c>
      <c r="B11" s="7" t="s">
        <v>83</v>
      </c>
      <c r="C11" s="7" t="s">
        <v>84</v>
      </c>
      <c r="D11" s="7" t="s">
        <v>85</v>
      </c>
      <c r="E11" s="7" t="s">
        <v>23</v>
      </c>
      <c r="F11" s="7" t="s">
        <v>86</v>
      </c>
      <c r="G11" s="7" t="s">
        <v>87</v>
      </c>
      <c r="H11" s="7">
        <v>620</v>
      </c>
      <c r="I11" s="6" t="s">
        <v>88</v>
      </c>
      <c r="J11" s="6" t="s">
        <v>89</v>
      </c>
      <c r="K11" s="6">
        <v>1299</v>
      </c>
      <c r="L11" s="6">
        <v>520</v>
      </c>
      <c r="M11" s="8">
        <v>60</v>
      </c>
      <c r="N11" s="6" t="s">
        <v>64</v>
      </c>
      <c r="O11" s="6" t="s">
        <v>29</v>
      </c>
      <c r="P11" s="6" t="s">
        <v>30</v>
      </c>
      <c r="Q11" s="7" t="s">
        <v>31</v>
      </c>
      <c r="R11" s="7" t="s">
        <v>90</v>
      </c>
    </row>
    <row r="12" spans="1:18" ht="34.5" customHeight="1" x14ac:dyDescent="0.25">
      <c r="A12" s="3" t="s">
        <v>91</v>
      </c>
      <c r="B12" s="4" t="s">
        <v>92</v>
      </c>
      <c r="C12" s="4" t="s">
        <v>84</v>
      </c>
      <c r="D12" s="4" t="s">
        <v>93</v>
      </c>
      <c r="E12" s="4" t="s">
        <v>23</v>
      </c>
      <c r="F12" s="4" t="s">
        <v>94</v>
      </c>
      <c r="G12" s="4" t="s">
        <v>95</v>
      </c>
      <c r="H12" s="4">
        <v>90</v>
      </c>
      <c r="I12" s="3" t="s">
        <v>96</v>
      </c>
      <c r="J12" s="3" t="s">
        <v>97</v>
      </c>
      <c r="K12" s="3">
        <v>199</v>
      </c>
      <c r="L12" s="3">
        <v>65</v>
      </c>
      <c r="M12" s="5">
        <v>67.3</v>
      </c>
      <c r="N12" s="3" t="s">
        <v>38</v>
      </c>
      <c r="O12" s="3" t="s">
        <v>29</v>
      </c>
      <c r="P12" s="3" t="s">
        <v>30</v>
      </c>
      <c r="Q12" s="4" t="s">
        <v>31</v>
      </c>
      <c r="R12" s="4" t="s">
        <v>98</v>
      </c>
    </row>
    <row r="13" spans="1:18" ht="34.5" customHeight="1" x14ac:dyDescent="0.25">
      <c r="A13" s="6" t="s">
        <v>99</v>
      </c>
      <c r="B13" s="7" t="s">
        <v>100</v>
      </c>
      <c r="C13" s="7" t="s">
        <v>84</v>
      </c>
      <c r="D13" s="7" t="s">
        <v>101</v>
      </c>
      <c r="E13" s="7" t="s">
        <v>23</v>
      </c>
      <c r="F13" s="7" t="s">
        <v>102</v>
      </c>
      <c r="G13" s="7" t="s">
        <v>103</v>
      </c>
      <c r="H13" s="7">
        <v>380</v>
      </c>
      <c r="I13" s="6" t="s">
        <v>104</v>
      </c>
      <c r="J13" s="6" t="s">
        <v>105</v>
      </c>
      <c r="K13" s="6">
        <v>499</v>
      </c>
      <c r="L13" s="6">
        <v>185</v>
      </c>
      <c r="M13" s="8">
        <v>62.9</v>
      </c>
      <c r="N13" s="6" t="s">
        <v>38</v>
      </c>
      <c r="O13" s="6" t="s">
        <v>29</v>
      </c>
      <c r="P13" s="6" t="s">
        <v>30</v>
      </c>
      <c r="Q13" s="7" t="s">
        <v>31</v>
      </c>
      <c r="R13" s="7" t="s">
        <v>106</v>
      </c>
    </row>
    <row r="14" spans="1:18" ht="23.25" customHeight="1" x14ac:dyDescent="0.25">
      <c r="A14" s="3" t="s">
        <v>107</v>
      </c>
      <c r="B14" s="4" t="s">
        <v>108</v>
      </c>
      <c r="C14" s="4" t="s">
        <v>109</v>
      </c>
      <c r="D14" s="4" t="s">
        <v>110</v>
      </c>
      <c r="E14" s="4" t="s">
        <v>111</v>
      </c>
      <c r="F14" s="4" t="s">
        <v>112</v>
      </c>
      <c r="G14" s="4" t="s">
        <v>113</v>
      </c>
      <c r="H14" s="4">
        <v>560</v>
      </c>
      <c r="I14" s="3" t="s">
        <v>114</v>
      </c>
      <c r="J14" s="3" t="s">
        <v>115</v>
      </c>
      <c r="K14" s="3">
        <v>350</v>
      </c>
      <c r="L14" s="3">
        <v>140</v>
      </c>
      <c r="M14" s="5">
        <v>60</v>
      </c>
      <c r="N14" s="3" t="s">
        <v>64</v>
      </c>
      <c r="O14" s="3" t="s">
        <v>29</v>
      </c>
      <c r="P14" s="3" t="s">
        <v>30</v>
      </c>
      <c r="Q14" s="4" t="s">
        <v>31</v>
      </c>
      <c r="R14" s="4" t="s">
        <v>116</v>
      </c>
    </row>
    <row r="15" spans="1:18" ht="23.25" customHeight="1" x14ac:dyDescent="0.25">
      <c r="A15" s="6" t="s">
        <v>117</v>
      </c>
      <c r="B15" s="7" t="s">
        <v>118</v>
      </c>
      <c r="C15" s="7" t="s">
        <v>109</v>
      </c>
      <c r="D15" s="7" t="s">
        <v>110</v>
      </c>
      <c r="E15" s="7" t="s">
        <v>111</v>
      </c>
      <c r="F15" s="7" t="s">
        <v>112</v>
      </c>
      <c r="G15" s="7" t="s">
        <v>119</v>
      </c>
      <c r="H15" s="7">
        <v>980</v>
      </c>
      <c r="I15" s="6" t="s">
        <v>120</v>
      </c>
      <c r="J15" s="6" t="s">
        <v>121</v>
      </c>
      <c r="K15" s="6">
        <v>699</v>
      </c>
      <c r="L15" s="6">
        <v>280</v>
      </c>
      <c r="M15" s="8">
        <v>59.9</v>
      </c>
      <c r="N15" s="6" t="s">
        <v>38</v>
      </c>
      <c r="O15" s="6" t="s">
        <v>29</v>
      </c>
      <c r="P15" s="6" t="s">
        <v>30</v>
      </c>
      <c r="Q15" s="7" t="s">
        <v>31</v>
      </c>
      <c r="R15" s="7" t="s">
        <v>122</v>
      </c>
    </row>
    <row r="16" spans="1:18" ht="34.5" customHeight="1" x14ac:dyDescent="0.25">
      <c r="A16" s="3" t="s">
        <v>123</v>
      </c>
      <c r="B16" s="4" t="s">
        <v>124</v>
      </c>
      <c r="C16" s="4" t="s">
        <v>125</v>
      </c>
      <c r="D16" s="4" t="s">
        <v>126</v>
      </c>
      <c r="E16" s="4" t="s">
        <v>23</v>
      </c>
      <c r="F16" s="4" t="s">
        <v>127</v>
      </c>
      <c r="G16" s="4" t="s">
        <v>128</v>
      </c>
      <c r="H16" s="4">
        <v>220</v>
      </c>
      <c r="I16" s="3" t="s">
        <v>129</v>
      </c>
      <c r="J16" s="3" t="s">
        <v>130</v>
      </c>
      <c r="K16" s="3">
        <v>699</v>
      </c>
      <c r="L16" s="3">
        <v>270</v>
      </c>
      <c r="M16" s="5">
        <v>61.4</v>
      </c>
      <c r="N16" s="3" t="s">
        <v>46</v>
      </c>
      <c r="O16" s="3" t="s">
        <v>29</v>
      </c>
      <c r="P16" s="3" t="s">
        <v>30</v>
      </c>
      <c r="Q16" s="4" t="s">
        <v>31</v>
      </c>
      <c r="R16" s="4" t="s">
        <v>131</v>
      </c>
    </row>
    <row r="17" spans="1:18" ht="34.5" customHeight="1" x14ac:dyDescent="0.25">
      <c r="A17" s="6" t="s">
        <v>132</v>
      </c>
      <c r="B17" s="7" t="s">
        <v>133</v>
      </c>
      <c r="C17" s="7" t="s">
        <v>125</v>
      </c>
      <c r="D17" s="7" t="s">
        <v>134</v>
      </c>
      <c r="E17" s="7" t="s">
        <v>23</v>
      </c>
      <c r="F17" s="7" t="s">
        <v>127</v>
      </c>
      <c r="G17" s="7" t="s">
        <v>135</v>
      </c>
      <c r="H17" s="7">
        <v>260</v>
      </c>
      <c r="I17" s="6" t="s">
        <v>136</v>
      </c>
      <c r="J17" s="6" t="s">
        <v>137</v>
      </c>
      <c r="K17" s="6">
        <v>849</v>
      </c>
      <c r="L17" s="6">
        <v>320</v>
      </c>
      <c r="M17" s="8">
        <v>62.3</v>
      </c>
      <c r="N17" s="6" t="s">
        <v>46</v>
      </c>
      <c r="O17" s="6" t="s">
        <v>29</v>
      </c>
      <c r="P17" s="6" t="s">
        <v>30</v>
      </c>
      <c r="Q17" s="7" t="s">
        <v>31</v>
      </c>
      <c r="R17" s="7" t="s">
        <v>138</v>
      </c>
    </row>
    <row r="18" spans="1:18" ht="23.25" customHeight="1" x14ac:dyDescent="0.25">
      <c r="A18" s="3" t="s">
        <v>139</v>
      </c>
      <c r="B18" s="4" t="s">
        <v>140</v>
      </c>
      <c r="C18" s="4" t="s">
        <v>141</v>
      </c>
      <c r="D18" s="4" t="s">
        <v>142</v>
      </c>
      <c r="E18" s="4" t="s">
        <v>23</v>
      </c>
      <c r="F18" s="4" t="s">
        <v>143</v>
      </c>
      <c r="G18" s="4" t="s">
        <v>144</v>
      </c>
      <c r="H18" s="4">
        <v>310</v>
      </c>
      <c r="I18" s="3" t="s">
        <v>145</v>
      </c>
      <c r="J18" s="3" t="s">
        <v>146</v>
      </c>
      <c r="K18" s="3">
        <v>799</v>
      </c>
      <c r="L18" s="3">
        <v>310</v>
      </c>
      <c r="M18" s="5">
        <v>61.2</v>
      </c>
      <c r="N18" s="3" t="s">
        <v>64</v>
      </c>
      <c r="O18" s="3" t="s">
        <v>29</v>
      </c>
      <c r="P18" s="9" t="s">
        <v>147</v>
      </c>
      <c r="Q18" s="4" t="s">
        <v>31</v>
      </c>
      <c r="R18" s="4" t="s">
        <v>148</v>
      </c>
    </row>
    <row r="19" spans="1:18" ht="34.5" customHeight="1" x14ac:dyDescent="0.25">
      <c r="A19" s="6" t="s">
        <v>149</v>
      </c>
      <c r="B19" s="7" t="s">
        <v>150</v>
      </c>
      <c r="C19" s="7" t="s">
        <v>141</v>
      </c>
      <c r="D19" s="7" t="s">
        <v>151</v>
      </c>
      <c r="E19" s="7" t="s">
        <v>23</v>
      </c>
      <c r="F19" s="7" t="s">
        <v>152</v>
      </c>
      <c r="G19" s="7" t="s">
        <v>153</v>
      </c>
      <c r="H19" s="7">
        <v>420</v>
      </c>
      <c r="I19" s="6" t="s">
        <v>154</v>
      </c>
      <c r="J19" s="6" t="s">
        <v>155</v>
      </c>
      <c r="K19" s="6">
        <v>599</v>
      </c>
      <c r="L19" s="6">
        <v>230</v>
      </c>
      <c r="M19" s="8">
        <v>61.6</v>
      </c>
      <c r="N19" s="6" t="s">
        <v>156</v>
      </c>
      <c r="O19" s="6" t="s">
        <v>29</v>
      </c>
      <c r="P19" s="6" t="s">
        <v>30</v>
      </c>
      <c r="Q19" s="7" t="s">
        <v>31</v>
      </c>
      <c r="R19" s="7" t="s">
        <v>157</v>
      </c>
    </row>
    <row r="20" spans="1:18" ht="48" customHeight="1" x14ac:dyDescent="0.25">
      <c r="A20" s="3" t="s">
        <v>158</v>
      </c>
      <c r="B20" s="4" t="s">
        <v>159</v>
      </c>
      <c r="C20" s="4" t="s">
        <v>141</v>
      </c>
      <c r="D20" s="4" t="s">
        <v>160</v>
      </c>
      <c r="E20" s="4" t="s">
        <v>161</v>
      </c>
      <c r="F20" s="4" t="s">
        <v>162</v>
      </c>
      <c r="G20" s="4" t="s">
        <v>163</v>
      </c>
      <c r="H20" s="4">
        <v>680</v>
      </c>
      <c r="I20" s="3" t="s">
        <v>164</v>
      </c>
      <c r="J20" s="3" t="s">
        <v>146</v>
      </c>
      <c r="K20" s="3">
        <v>1499</v>
      </c>
      <c r="L20" s="3">
        <v>580</v>
      </c>
      <c r="M20" s="5">
        <v>61.3</v>
      </c>
      <c r="N20" s="3" t="s">
        <v>165</v>
      </c>
      <c r="O20" s="3" t="s">
        <v>166</v>
      </c>
      <c r="P20" s="3" t="s">
        <v>30</v>
      </c>
      <c r="Q20" s="4" t="s">
        <v>31</v>
      </c>
      <c r="R20" s="4" t="s">
        <v>167</v>
      </c>
    </row>
    <row r="22" spans="1:18" ht="15" customHeight="1" x14ac:dyDescent="0.25">
      <c r="A22" s="40" t="s">
        <v>168</v>
      </c>
      <c r="B22" s="40"/>
      <c r="C22" s="40"/>
      <c r="D22" s="40"/>
      <c r="E22" s="40"/>
    </row>
    <row r="23" spans="1:18" ht="15" customHeight="1" x14ac:dyDescent="0.25">
      <c r="A23" s="10" t="s">
        <v>169</v>
      </c>
      <c r="B23" s="11">
        <f>COUNTA(A4:A20)</f>
        <v>17</v>
      </c>
      <c r="C23" s="10" t="s">
        <v>29</v>
      </c>
      <c r="D23" s="11">
        <f>COUNTIF(O4:O20,"In Stock")</f>
        <v>16</v>
      </c>
      <c r="E23" s="10" t="s">
        <v>170</v>
      </c>
      <c r="F23" s="11">
        <f>COUNTIF(P4:P20,"No — Pending")</f>
        <v>1</v>
      </c>
      <c r="G23" s="10" t="s">
        <v>171</v>
      </c>
      <c r="H23" s="11">
        <f>AVERAGE(M4:M20)</f>
        <v>61.352941176470587</v>
      </c>
    </row>
  </sheetData>
  <mergeCells count="3">
    <mergeCell ref="A1:R1"/>
    <mergeCell ref="A2:R2"/>
    <mergeCell ref="A22:E22"/>
  </mergeCells>
  <conditionalFormatting sqref="O4:O20">
    <cfRule type="cellIs" dxfId="2" priority="2" operator="equal">
      <formula>"In Stock"</formula>
    </cfRule>
    <cfRule type="cellIs" dxfId="1" priority="3" operator="equal">
      <formula>"Out of Stock"</formula>
    </cfRule>
    <cfRule type="expression" dxfId="0" priority="4">
      <formula>NOT(EXACT(O4,"In Stock"))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showGridLines="0" zoomScaleNormal="100" workbookViewId="0">
      <pane ySplit="4" topLeftCell="A5" activePane="bottomLeft" state="frozen"/>
      <selection pane="bottomLeft" activeCell="B28" sqref="B28"/>
    </sheetView>
  </sheetViews>
  <sheetFormatPr defaultColWidth="8.7109375" defaultRowHeight="15" x14ac:dyDescent="0.25"/>
  <cols>
    <col min="1" max="1" width="20" style="1" bestFit="1" customWidth="1"/>
    <col min="2" max="2" width="38" style="1" bestFit="1" customWidth="1"/>
    <col min="3" max="3" width="10.85546875" style="1" bestFit="1" customWidth="1"/>
    <col min="4" max="4" width="10.140625" style="1" bestFit="1" customWidth="1"/>
    <col min="5" max="5" width="10.85546875" style="1" bestFit="1" customWidth="1"/>
    <col min="6" max="6" width="10.42578125" style="1" bestFit="1" customWidth="1"/>
    <col min="7" max="7" width="12.85546875" style="1" bestFit="1" customWidth="1"/>
    <col min="8" max="8" width="10.5703125" style="1" bestFit="1" customWidth="1"/>
    <col min="9" max="9" width="13.7109375" style="1" bestFit="1" customWidth="1"/>
    <col min="10" max="10" width="39.42578125" style="1" bestFit="1" customWidth="1"/>
  </cols>
  <sheetData>
    <row r="1" spans="1:10" ht="33.75" customHeight="1" x14ac:dyDescent="0.25">
      <c r="A1" s="41" t="s">
        <v>290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ht="15.75" customHeight="1" x14ac:dyDescent="0.25">
      <c r="A2" s="39" t="s">
        <v>172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3.5" customHeight="1" x14ac:dyDescent="0.25">
      <c r="A3" s="42" t="s">
        <v>173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49.5" customHeight="1" x14ac:dyDescent="0.25">
      <c r="A4" s="12" t="s">
        <v>1</v>
      </c>
      <c r="B4" s="12" t="s">
        <v>2</v>
      </c>
      <c r="C4" s="27" t="s">
        <v>174</v>
      </c>
      <c r="D4" s="27" t="s">
        <v>175</v>
      </c>
      <c r="E4" s="27" t="s">
        <v>176</v>
      </c>
      <c r="F4" s="28" t="s">
        <v>177</v>
      </c>
      <c r="G4" s="29" t="s">
        <v>178</v>
      </c>
      <c r="H4" s="30" t="s">
        <v>179</v>
      </c>
      <c r="I4" s="31" t="s">
        <v>180</v>
      </c>
      <c r="J4" s="13" t="s">
        <v>181</v>
      </c>
    </row>
    <row r="5" spans="1:10" ht="21.75" customHeight="1" x14ac:dyDescent="0.25">
      <c r="A5" s="14" t="s">
        <v>19</v>
      </c>
      <c r="B5" s="7" t="s">
        <v>20</v>
      </c>
      <c r="C5" s="15" t="s">
        <v>182</v>
      </c>
      <c r="D5" s="15" t="s">
        <v>182</v>
      </c>
      <c r="E5" s="15" t="s">
        <v>182</v>
      </c>
      <c r="F5" s="15" t="s">
        <v>182</v>
      </c>
      <c r="G5" s="15" t="s">
        <v>182</v>
      </c>
      <c r="H5" s="15" t="s">
        <v>182</v>
      </c>
      <c r="I5" s="16" t="s">
        <v>183</v>
      </c>
      <c r="J5" s="17" t="s">
        <v>184</v>
      </c>
    </row>
    <row r="6" spans="1:10" ht="21.75" customHeight="1" x14ac:dyDescent="0.25">
      <c r="A6" s="18" t="s">
        <v>33</v>
      </c>
      <c r="B6" s="4" t="s">
        <v>185</v>
      </c>
      <c r="C6" s="15" t="s">
        <v>182</v>
      </c>
      <c r="D6" s="15" t="s">
        <v>182</v>
      </c>
      <c r="E6" s="15" t="s">
        <v>182</v>
      </c>
      <c r="F6" s="15" t="s">
        <v>182</v>
      </c>
      <c r="G6" s="15" t="s">
        <v>182</v>
      </c>
      <c r="H6" s="15" t="s">
        <v>182</v>
      </c>
      <c r="I6" s="16" t="s">
        <v>183</v>
      </c>
      <c r="J6" s="19" t="s">
        <v>184</v>
      </c>
    </row>
    <row r="7" spans="1:10" ht="21.75" customHeight="1" x14ac:dyDescent="0.25">
      <c r="A7" s="14" t="s">
        <v>40</v>
      </c>
      <c r="B7" s="7" t="s">
        <v>41</v>
      </c>
      <c r="C7" s="15" t="s">
        <v>182</v>
      </c>
      <c r="D7" s="20" t="s">
        <v>186</v>
      </c>
      <c r="E7" s="15" t="s">
        <v>182</v>
      </c>
      <c r="F7" s="15" t="s">
        <v>182</v>
      </c>
      <c r="G7" s="15" t="s">
        <v>182</v>
      </c>
      <c r="H7" s="15" t="s">
        <v>182</v>
      </c>
      <c r="I7" s="21" t="s">
        <v>187</v>
      </c>
      <c r="J7" s="17" t="s">
        <v>188</v>
      </c>
    </row>
    <row r="8" spans="1:10" ht="21.75" customHeight="1" x14ac:dyDescent="0.25">
      <c r="A8" s="18" t="s">
        <v>48</v>
      </c>
      <c r="B8" s="4" t="s">
        <v>189</v>
      </c>
      <c r="C8" s="15" t="s">
        <v>182</v>
      </c>
      <c r="D8" s="15" t="s">
        <v>182</v>
      </c>
      <c r="E8" s="15" t="s">
        <v>182</v>
      </c>
      <c r="F8" s="15" t="s">
        <v>182</v>
      </c>
      <c r="G8" s="15" t="s">
        <v>182</v>
      </c>
      <c r="H8" s="22" t="s">
        <v>190</v>
      </c>
      <c r="I8" s="16" t="s">
        <v>183</v>
      </c>
      <c r="J8" s="19" t="s">
        <v>191</v>
      </c>
    </row>
    <row r="9" spans="1:10" ht="21.75" customHeight="1" x14ac:dyDescent="0.25">
      <c r="A9" s="14" t="s">
        <v>56</v>
      </c>
      <c r="B9" s="7" t="s">
        <v>57</v>
      </c>
      <c r="C9" s="15" t="s">
        <v>182</v>
      </c>
      <c r="D9" s="15" t="s">
        <v>182</v>
      </c>
      <c r="E9" s="15" t="s">
        <v>182</v>
      </c>
      <c r="F9" s="15" t="s">
        <v>182</v>
      </c>
      <c r="G9" s="15" t="s">
        <v>182</v>
      </c>
      <c r="H9" s="15" t="s">
        <v>182</v>
      </c>
      <c r="I9" s="16" t="s">
        <v>183</v>
      </c>
      <c r="J9" s="17" t="s">
        <v>192</v>
      </c>
    </row>
    <row r="10" spans="1:10" ht="21.75" customHeight="1" x14ac:dyDescent="0.25">
      <c r="A10" s="18" t="s">
        <v>66</v>
      </c>
      <c r="B10" s="4" t="s">
        <v>67</v>
      </c>
      <c r="C10" s="15" t="s">
        <v>182</v>
      </c>
      <c r="D10" s="20" t="s">
        <v>186</v>
      </c>
      <c r="E10" s="15" t="s">
        <v>182</v>
      </c>
      <c r="F10" s="15" t="s">
        <v>182</v>
      </c>
      <c r="G10" s="15" t="s">
        <v>182</v>
      </c>
      <c r="H10" s="15" t="s">
        <v>182</v>
      </c>
      <c r="I10" s="21" t="s">
        <v>187</v>
      </c>
      <c r="J10" s="19" t="s">
        <v>193</v>
      </c>
    </row>
    <row r="11" spans="1:10" ht="21.75" customHeight="1" x14ac:dyDescent="0.25">
      <c r="A11" s="14" t="s">
        <v>74</v>
      </c>
      <c r="B11" s="7" t="s">
        <v>194</v>
      </c>
      <c r="C11" s="15" t="s">
        <v>182</v>
      </c>
      <c r="D11" s="15" t="s">
        <v>182</v>
      </c>
      <c r="E11" s="23" t="s">
        <v>195</v>
      </c>
      <c r="F11" s="15" t="s">
        <v>182</v>
      </c>
      <c r="G11" s="15" t="s">
        <v>182</v>
      </c>
      <c r="H11" s="15" t="s">
        <v>182</v>
      </c>
      <c r="I11" s="24" t="s">
        <v>196</v>
      </c>
      <c r="J11" s="17" t="s">
        <v>197</v>
      </c>
    </row>
    <row r="12" spans="1:10" ht="21.75" customHeight="1" x14ac:dyDescent="0.25">
      <c r="A12" s="18" t="s">
        <v>82</v>
      </c>
      <c r="B12" s="4" t="s">
        <v>83</v>
      </c>
      <c r="C12" s="15" t="s">
        <v>182</v>
      </c>
      <c r="D12" s="15" t="s">
        <v>182</v>
      </c>
      <c r="E12" s="15" t="s">
        <v>182</v>
      </c>
      <c r="F12" s="15" t="s">
        <v>182</v>
      </c>
      <c r="G12" s="15" t="s">
        <v>182</v>
      </c>
      <c r="H12" s="15" t="s">
        <v>182</v>
      </c>
      <c r="I12" s="16" t="s">
        <v>183</v>
      </c>
      <c r="J12" s="19" t="s">
        <v>198</v>
      </c>
    </row>
    <row r="13" spans="1:10" ht="21.75" customHeight="1" x14ac:dyDescent="0.25">
      <c r="A13" s="14" t="s">
        <v>91</v>
      </c>
      <c r="B13" s="7" t="s">
        <v>199</v>
      </c>
      <c r="C13" s="15" t="s">
        <v>182</v>
      </c>
      <c r="D13" s="15" t="s">
        <v>182</v>
      </c>
      <c r="E13" s="15" t="s">
        <v>182</v>
      </c>
      <c r="F13" s="15" t="s">
        <v>182</v>
      </c>
      <c r="G13" s="20" t="s">
        <v>287</v>
      </c>
      <c r="H13" s="22" t="s">
        <v>190</v>
      </c>
      <c r="I13" s="21" t="s">
        <v>281</v>
      </c>
      <c r="J13" s="17" t="s">
        <v>200</v>
      </c>
    </row>
    <row r="14" spans="1:10" ht="21.75" customHeight="1" x14ac:dyDescent="0.25">
      <c r="A14" s="18" t="s">
        <v>99</v>
      </c>
      <c r="B14" s="4" t="s">
        <v>201</v>
      </c>
      <c r="C14" s="15" t="s">
        <v>182</v>
      </c>
      <c r="D14" s="15" t="s">
        <v>182</v>
      </c>
      <c r="E14" s="15" t="s">
        <v>182</v>
      </c>
      <c r="F14" s="15" t="s">
        <v>182</v>
      </c>
      <c r="G14" s="15" t="s">
        <v>182</v>
      </c>
      <c r="H14" s="22" t="s">
        <v>190</v>
      </c>
      <c r="I14" s="16" t="s">
        <v>280</v>
      </c>
      <c r="J14" s="19" t="s">
        <v>202</v>
      </c>
    </row>
    <row r="15" spans="1:10" ht="21.75" customHeight="1" x14ac:dyDescent="0.25">
      <c r="A15" s="14" t="s">
        <v>107</v>
      </c>
      <c r="B15" s="7" t="s">
        <v>203</v>
      </c>
      <c r="C15" s="15" t="s">
        <v>182</v>
      </c>
      <c r="D15" s="15" t="s">
        <v>182</v>
      </c>
      <c r="E15" s="15" t="s">
        <v>182</v>
      </c>
      <c r="F15" s="15" t="s">
        <v>182</v>
      </c>
      <c r="G15" s="15" t="s">
        <v>182</v>
      </c>
      <c r="H15" s="15" t="s">
        <v>182</v>
      </c>
      <c r="I15" s="16" t="s">
        <v>280</v>
      </c>
      <c r="J15" s="17" t="s">
        <v>204</v>
      </c>
    </row>
    <row r="16" spans="1:10" ht="21.75" customHeight="1" x14ac:dyDescent="0.25">
      <c r="A16" s="18" t="s">
        <v>117</v>
      </c>
      <c r="B16" s="4" t="s">
        <v>205</v>
      </c>
      <c r="C16" s="15" t="s">
        <v>182</v>
      </c>
      <c r="D16" s="20" t="s">
        <v>286</v>
      </c>
      <c r="E16" s="15" t="s">
        <v>182</v>
      </c>
      <c r="F16" s="15" t="s">
        <v>182</v>
      </c>
      <c r="G16" s="15" t="s">
        <v>182</v>
      </c>
      <c r="H16" s="15" t="s">
        <v>182</v>
      </c>
      <c r="I16" s="21" t="s">
        <v>281</v>
      </c>
      <c r="J16" s="19" t="s">
        <v>206</v>
      </c>
    </row>
    <row r="17" spans="1:10" ht="21.75" customHeight="1" x14ac:dyDescent="0.25">
      <c r="A17" s="14" t="s">
        <v>123</v>
      </c>
      <c r="B17" s="7" t="s">
        <v>207</v>
      </c>
      <c r="C17" s="15" t="s">
        <v>182</v>
      </c>
      <c r="D17" s="15" t="s">
        <v>182</v>
      </c>
      <c r="E17" s="15" t="s">
        <v>182</v>
      </c>
      <c r="F17" s="15" t="s">
        <v>182</v>
      </c>
      <c r="G17" s="20" t="s">
        <v>287</v>
      </c>
      <c r="H17" s="22" t="s">
        <v>190</v>
      </c>
      <c r="I17" s="21" t="s">
        <v>281</v>
      </c>
      <c r="J17" s="17" t="s">
        <v>208</v>
      </c>
    </row>
    <row r="18" spans="1:10" ht="21.75" customHeight="1" x14ac:dyDescent="0.25">
      <c r="A18" s="18" t="s">
        <v>132</v>
      </c>
      <c r="B18" s="4" t="s">
        <v>209</v>
      </c>
      <c r="C18" s="15" t="s">
        <v>182</v>
      </c>
      <c r="D18" s="15" t="s">
        <v>182</v>
      </c>
      <c r="E18" s="23" t="s">
        <v>285</v>
      </c>
      <c r="F18" s="15" t="s">
        <v>182</v>
      </c>
      <c r="G18" s="20" t="s">
        <v>287</v>
      </c>
      <c r="H18" s="22" t="s">
        <v>190</v>
      </c>
      <c r="I18" s="24" t="s">
        <v>282</v>
      </c>
      <c r="J18" s="19" t="s">
        <v>210</v>
      </c>
    </row>
    <row r="19" spans="1:10" ht="21.75" customHeight="1" x14ac:dyDescent="0.25">
      <c r="A19" s="14" t="s">
        <v>139</v>
      </c>
      <c r="B19" s="7" t="s">
        <v>211</v>
      </c>
      <c r="C19" s="20" t="s">
        <v>287</v>
      </c>
      <c r="D19" s="20" t="s">
        <v>287</v>
      </c>
      <c r="E19" s="23" t="s">
        <v>285</v>
      </c>
      <c r="F19" s="20" t="s">
        <v>287</v>
      </c>
      <c r="G19" s="23" t="s">
        <v>285</v>
      </c>
      <c r="H19" s="22" t="s">
        <v>190</v>
      </c>
      <c r="I19" s="24" t="s">
        <v>283</v>
      </c>
      <c r="J19" s="17" t="s">
        <v>212</v>
      </c>
    </row>
    <row r="20" spans="1:10" ht="21.75" customHeight="1" x14ac:dyDescent="0.25">
      <c r="A20" s="18" t="s">
        <v>149</v>
      </c>
      <c r="B20" s="4" t="s">
        <v>213</v>
      </c>
      <c r="C20" s="15" t="s">
        <v>182</v>
      </c>
      <c r="D20" s="15" t="s">
        <v>182</v>
      </c>
      <c r="E20" s="15" t="s">
        <v>182</v>
      </c>
      <c r="F20" s="15" t="s">
        <v>182</v>
      </c>
      <c r="G20" s="15" t="s">
        <v>182</v>
      </c>
      <c r="H20" s="20" t="s">
        <v>287</v>
      </c>
      <c r="I20" s="21" t="s">
        <v>284</v>
      </c>
      <c r="J20" s="19" t="s">
        <v>214</v>
      </c>
    </row>
    <row r="21" spans="1:10" ht="21.75" customHeight="1" x14ac:dyDescent="0.25">
      <c r="A21" s="14" t="s">
        <v>158</v>
      </c>
      <c r="B21" s="7" t="s">
        <v>215</v>
      </c>
      <c r="C21" s="15" t="s">
        <v>182</v>
      </c>
      <c r="D21" s="15" t="s">
        <v>182</v>
      </c>
      <c r="E21" s="15" t="s">
        <v>182</v>
      </c>
      <c r="F21" s="15" t="s">
        <v>182</v>
      </c>
      <c r="G21" s="15" t="s">
        <v>182</v>
      </c>
      <c r="H21" s="15" t="s">
        <v>182</v>
      </c>
      <c r="I21" s="16" t="s">
        <v>280</v>
      </c>
      <c r="J21" s="17" t="s">
        <v>216</v>
      </c>
    </row>
    <row r="23" spans="1:10" ht="15" customHeight="1" x14ac:dyDescent="0.25">
      <c r="A23" s="40" t="s">
        <v>289</v>
      </c>
      <c r="B23" s="40"/>
    </row>
    <row r="24" spans="1:10" ht="21.75" customHeight="1" x14ac:dyDescent="0.25">
      <c r="A24" s="32" t="s">
        <v>217</v>
      </c>
      <c r="B24" s="25">
        <f>COUNTA(A5:A21)</f>
        <v>17</v>
      </c>
    </row>
    <row r="25" spans="1:10" ht="15" customHeight="1" x14ac:dyDescent="0.25">
      <c r="A25" s="33" t="s">
        <v>280</v>
      </c>
      <c r="B25" s="25">
        <f>COUNTIF(I5:I21,"🟢 LIVE")</f>
        <v>5</v>
      </c>
    </row>
    <row r="26" spans="1:10" ht="15" customHeight="1" x14ac:dyDescent="0.25">
      <c r="A26" s="34" t="s">
        <v>281</v>
      </c>
      <c r="B26" s="25">
        <f>COUNTIF(I5:I21,"🟡 In Review")</f>
        <v>2</v>
      </c>
    </row>
    <row r="27" spans="1:10" ht="21.75" customHeight="1" x14ac:dyDescent="0.25">
      <c r="A27" s="35" t="s">
        <v>288</v>
      </c>
      <c r="B27" s="25">
        <f>COUNTIF(I5:I21,"🔴 Blocked")+COUNTIF(I5:I21,"🔴 Not Ready")</f>
        <v>1</v>
      </c>
    </row>
    <row r="28" spans="1:10" ht="15" customHeight="1" x14ac:dyDescent="0.25">
      <c r="A28" s="36" t="s">
        <v>218</v>
      </c>
      <c r="B28" s="25">
        <f>COUNTIF(E5:E21,"🔴 Pending")</f>
        <v>1</v>
      </c>
    </row>
    <row r="29" spans="1:10" ht="23.25" customHeight="1" x14ac:dyDescent="0.25">
      <c r="A29" s="37" t="s">
        <v>219</v>
      </c>
      <c r="B29" s="25">
        <f>COUNTIF(H5:H21,"🟡 WIP")+COUNTIF(H5:H21,"🔴 Pending")</f>
        <v>0</v>
      </c>
    </row>
  </sheetData>
  <mergeCells count="4">
    <mergeCell ref="A1:J1"/>
    <mergeCell ref="A2:J2"/>
    <mergeCell ref="A3:J3"/>
    <mergeCell ref="A23:B2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showGridLines="0" topLeftCell="A5" zoomScaleNormal="100" workbookViewId="0">
      <selection activeCell="A8" sqref="A8:E8"/>
    </sheetView>
  </sheetViews>
  <sheetFormatPr defaultColWidth="21.85546875" defaultRowHeight="15" x14ac:dyDescent="0.25"/>
  <cols>
    <col min="1" max="1" width="19.28515625" style="1" bestFit="1" customWidth="1"/>
    <col min="2" max="5" width="21.85546875" style="1"/>
  </cols>
  <sheetData>
    <row r="1" spans="1:5" ht="30" customHeight="1" x14ac:dyDescent="0.25">
      <c r="A1" s="49" t="s">
        <v>220</v>
      </c>
      <c r="B1" s="49"/>
      <c r="C1" s="49"/>
      <c r="D1" s="49"/>
      <c r="E1" s="49"/>
    </row>
    <row r="2" spans="1:5" ht="21.75" customHeight="1" x14ac:dyDescent="0.25">
      <c r="A2" s="50" t="s">
        <v>221</v>
      </c>
      <c r="B2" s="50"/>
      <c r="C2" s="50"/>
      <c r="D2" s="50"/>
      <c r="E2" s="50"/>
    </row>
    <row r="3" spans="1:5" ht="45" customHeight="1" x14ac:dyDescent="0.25">
      <c r="A3" s="26" t="s">
        <v>222</v>
      </c>
      <c r="B3" s="43" t="s">
        <v>223</v>
      </c>
      <c r="C3" s="43"/>
      <c r="D3" s="43"/>
      <c r="E3" s="43"/>
    </row>
    <row r="4" spans="1:5" ht="45" customHeight="1" x14ac:dyDescent="0.25">
      <c r="A4" s="26" t="s">
        <v>224</v>
      </c>
      <c r="B4" s="43" t="s">
        <v>225</v>
      </c>
      <c r="C4" s="43"/>
      <c r="D4" s="43"/>
      <c r="E4" s="43"/>
    </row>
    <row r="5" spans="1:5" ht="45" customHeight="1" x14ac:dyDescent="0.25">
      <c r="A5" s="26" t="s">
        <v>226</v>
      </c>
      <c r="B5" s="43" t="s">
        <v>227</v>
      </c>
      <c r="C5" s="43"/>
      <c r="D5" s="43"/>
      <c r="E5" s="43"/>
    </row>
    <row r="6" spans="1:5" ht="45" customHeight="1" x14ac:dyDescent="0.25">
      <c r="A6" s="26" t="s">
        <v>228</v>
      </c>
      <c r="B6" s="43" t="s">
        <v>229</v>
      </c>
      <c r="C6" s="43"/>
      <c r="D6" s="43"/>
      <c r="E6" s="43"/>
    </row>
    <row r="8" spans="1:5" ht="21.75" customHeight="1" x14ac:dyDescent="0.25">
      <c r="A8" s="48" t="s">
        <v>230</v>
      </c>
      <c r="B8" s="48"/>
      <c r="C8" s="48"/>
      <c r="D8" s="48"/>
      <c r="E8" s="48"/>
    </row>
    <row r="9" spans="1:5" ht="45" customHeight="1" x14ac:dyDescent="0.25">
      <c r="A9" s="26" t="s">
        <v>231</v>
      </c>
      <c r="B9" s="43" t="s">
        <v>232</v>
      </c>
      <c r="C9" s="43"/>
      <c r="D9" s="43"/>
      <c r="E9" s="43"/>
    </row>
    <row r="10" spans="1:5" ht="45" customHeight="1" x14ac:dyDescent="0.25">
      <c r="A10" s="26" t="s">
        <v>233</v>
      </c>
      <c r="B10" s="43" t="s">
        <v>234</v>
      </c>
      <c r="C10" s="43"/>
      <c r="D10" s="43"/>
      <c r="E10" s="43"/>
    </row>
    <row r="11" spans="1:5" ht="45" customHeight="1" x14ac:dyDescent="0.25">
      <c r="A11" s="26" t="s">
        <v>235</v>
      </c>
      <c r="B11" s="43" t="s">
        <v>236</v>
      </c>
      <c r="C11" s="43"/>
      <c r="D11" s="43"/>
      <c r="E11" s="43"/>
    </row>
    <row r="12" spans="1:5" ht="45" customHeight="1" x14ac:dyDescent="0.25">
      <c r="A12" s="26" t="s">
        <v>237</v>
      </c>
      <c r="B12" s="43" t="s">
        <v>238</v>
      </c>
      <c r="C12" s="43"/>
      <c r="D12" s="43"/>
      <c r="E12" s="43"/>
    </row>
    <row r="13" spans="1:5" ht="45" customHeight="1" x14ac:dyDescent="0.25">
      <c r="A13" s="26" t="s">
        <v>239</v>
      </c>
      <c r="B13" s="43" t="s">
        <v>240</v>
      </c>
      <c r="C13" s="43"/>
      <c r="D13" s="43"/>
      <c r="E13" s="43"/>
    </row>
    <row r="15" spans="1:5" ht="21.75" customHeight="1" x14ac:dyDescent="0.25">
      <c r="A15" s="47" t="s">
        <v>241</v>
      </c>
      <c r="B15" s="47"/>
      <c r="C15" s="47"/>
      <c r="D15" s="47"/>
      <c r="E15" s="47"/>
    </row>
    <row r="16" spans="1:5" ht="45" customHeight="1" x14ac:dyDescent="0.25">
      <c r="A16" s="26" t="s">
        <v>242</v>
      </c>
      <c r="B16" s="43" t="s">
        <v>243</v>
      </c>
      <c r="C16" s="43"/>
      <c r="D16" s="43"/>
      <c r="E16" s="43"/>
    </row>
    <row r="17" spans="1:5" ht="45" customHeight="1" x14ac:dyDescent="0.25">
      <c r="A17" s="26" t="s">
        <v>244</v>
      </c>
      <c r="B17" s="43" t="s">
        <v>245</v>
      </c>
      <c r="C17" s="43"/>
      <c r="D17" s="43"/>
      <c r="E17" s="43"/>
    </row>
    <row r="18" spans="1:5" ht="45" customHeight="1" x14ac:dyDescent="0.25">
      <c r="A18" s="26" t="s">
        <v>246</v>
      </c>
      <c r="B18" s="43" t="s">
        <v>247</v>
      </c>
      <c r="C18" s="43"/>
      <c r="D18" s="43"/>
      <c r="E18" s="43"/>
    </row>
    <row r="19" spans="1:5" ht="45" customHeight="1" x14ac:dyDescent="0.25">
      <c r="A19" s="26" t="s">
        <v>248</v>
      </c>
      <c r="B19" s="43" t="s">
        <v>249</v>
      </c>
      <c r="C19" s="43"/>
      <c r="D19" s="43"/>
      <c r="E19" s="43"/>
    </row>
    <row r="20" spans="1:5" ht="45" customHeight="1" x14ac:dyDescent="0.25">
      <c r="A20" s="26" t="s">
        <v>250</v>
      </c>
      <c r="B20" s="43" t="s">
        <v>251</v>
      </c>
      <c r="C20" s="43"/>
      <c r="D20" s="43"/>
      <c r="E20" s="43"/>
    </row>
    <row r="22" spans="1:5" ht="21.75" customHeight="1" x14ac:dyDescent="0.25">
      <c r="A22" s="46" t="s">
        <v>252</v>
      </c>
      <c r="B22" s="46"/>
      <c r="C22" s="46"/>
      <c r="D22" s="46"/>
      <c r="E22" s="46"/>
    </row>
    <row r="23" spans="1:5" ht="45" customHeight="1" x14ac:dyDescent="0.25">
      <c r="A23" s="26" t="s">
        <v>253</v>
      </c>
      <c r="B23" s="43" t="s">
        <v>254</v>
      </c>
      <c r="C23" s="43"/>
      <c r="D23" s="43"/>
      <c r="E23" s="43"/>
    </row>
    <row r="24" spans="1:5" ht="45" customHeight="1" x14ac:dyDescent="0.25">
      <c r="A24" s="26" t="s">
        <v>255</v>
      </c>
      <c r="B24" s="43" t="s">
        <v>256</v>
      </c>
      <c r="C24" s="43"/>
      <c r="D24" s="43"/>
      <c r="E24" s="43"/>
    </row>
    <row r="25" spans="1:5" ht="45" customHeight="1" x14ac:dyDescent="0.25">
      <c r="A25" s="26" t="s">
        <v>257</v>
      </c>
      <c r="B25" s="43" t="s">
        <v>258</v>
      </c>
      <c r="C25" s="43"/>
      <c r="D25" s="43"/>
      <c r="E25" s="43"/>
    </row>
    <row r="26" spans="1:5" ht="45" customHeight="1" x14ac:dyDescent="0.25">
      <c r="A26" s="26" t="s">
        <v>259</v>
      </c>
      <c r="B26" s="43" t="s">
        <v>260</v>
      </c>
      <c r="C26" s="43"/>
      <c r="D26" s="43"/>
      <c r="E26" s="43"/>
    </row>
    <row r="28" spans="1:5" ht="21.75" customHeight="1" x14ac:dyDescent="0.25">
      <c r="A28" s="45" t="s">
        <v>261</v>
      </c>
      <c r="B28" s="45"/>
      <c r="C28" s="45"/>
      <c r="D28" s="45"/>
      <c r="E28" s="45"/>
    </row>
    <row r="29" spans="1:5" ht="45" customHeight="1" x14ac:dyDescent="0.25">
      <c r="A29" s="26" t="s">
        <v>262</v>
      </c>
      <c r="B29" s="43" t="s">
        <v>263</v>
      </c>
      <c r="C29" s="43"/>
      <c r="D29" s="43"/>
      <c r="E29" s="43"/>
    </row>
    <row r="30" spans="1:5" ht="45" customHeight="1" x14ac:dyDescent="0.25">
      <c r="A30" s="26" t="s">
        <v>264</v>
      </c>
      <c r="B30" s="43" t="s">
        <v>265</v>
      </c>
      <c r="C30" s="43"/>
      <c r="D30" s="43"/>
      <c r="E30" s="43"/>
    </row>
    <row r="31" spans="1:5" ht="45" customHeight="1" x14ac:dyDescent="0.25">
      <c r="A31" s="26" t="s">
        <v>266</v>
      </c>
      <c r="B31" s="43" t="s">
        <v>267</v>
      </c>
      <c r="C31" s="43"/>
      <c r="D31" s="43"/>
      <c r="E31" s="43"/>
    </row>
    <row r="32" spans="1:5" ht="45" customHeight="1" x14ac:dyDescent="0.25">
      <c r="A32" s="26" t="s">
        <v>268</v>
      </c>
      <c r="B32" s="43" t="s">
        <v>269</v>
      </c>
      <c r="C32" s="43"/>
      <c r="D32" s="43"/>
      <c r="E32" s="43"/>
    </row>
    <row r="34" spans="1:5" ht="21.75" customHeight="1" x14ac:dyDescent="0.25">
      <c r="A34" s="44" t="s">
        <v>270</v>
      </c>
      <c r="B34" s="44"/>
      <c r="C34" s="44"/>
      <c r="D34" s="44"/>
      <c r="E34" s="44"/>
    </row>
    <row r="35" spans="1:5" ht="45" customHeight="1" x14ac:dyDescent="0.25">
      <c r="A35" s="26" t="s">
        <v>271</v>
      </c>
      <c r="B35" s="43" t="s">
        <v>272</v>
      </c>
      <c r="C35" s="43"/>
      <c r="D35" s="43"/>
      <c r="E35" s="43"/>
    </row>
    <row r="36" spans="1:5" ht="45" customHeight="1" x14ac:dyDescent="0.25">
      <c r="A36" s="26" t="s">
        <v>273</v>
      </c>
      <c r="B36" s="43" t="s">
        <v>274</v>
      </c>
      <c r="C36" s="43"/>
      <c r="D36" s="43"/>
      <c r="E36" s="43"/>
    </row>
    <row r="37" spans="1:5" ht="45" customHeight="1" x14ac:dyDescent="0.25">
      <c r="A37" s="26" t="s">
        <v>275</v>
      </c>
      <c r="B37" s="43" t="s">
        <v>276</v>
      </c>
      <c r="C37" s="43"/>
      <c r="D37" s="43"/>
      <c r="E37" s="43"/>
    </row>
    <row r="38" spans="1:5" ht="45" customHeight="1" x14ac:dyDescent="0.25">
      <c r="A38" s="26" t="s">
        <v>125</v>
      </c>
      <c r="B38" s="43" t="s">
        <v>277</v>
      </c>
      <c r="C38" s="43"/>
      <c r="D38" s="43"/>
      <c r="E38" s="43"/>
    </row>
    <row r="39" spans="1:5" ht="45" customHeight="1" x14ac:dyDescent="0.25">
      <c r="A39" s="26" t="s">
        <v>278</v>
      </c>
      <c r="B39" s="43" t="s">
        <v>279</v>
      </c>
      <c r="C39" s="43"/>
      <c r="D39" s="43"/>
      <c r="E39" s="43"/>
    </row>
  </sheetData>
  <mergeCells count="34">
    <mergeCell ref="A1:E1"/>
    <mergeCell ref="A2:E2"/>
    <mergeCell ref="B3:E3"/>
    <mergeCell ref="B4:E4"/>
    <mergeCell ref="B5:E5"/>
    <mergeCell ref="B6:E6"/>
    <mergeCell ref="A8:E8"/>
    <mergeCell ref="B9:E9"/>
    <mergeCell ref="B10:E10"/>
    <mergeCell ref="B11:E11"/>
    <mergeCell ref="B12:E12"/>
    <mergeCell ref="B13:E13"/>
    <mergeCell ref="A15:E15"/>
    <mergeCell ref="B16:E16"/>
    <mergeCell ref="B17:E17"/>
    <mergeCell ref="B18:E18"/>
    <mergeCell ref="B19:E19"/>
    <mergeCell ref="B20:E20"/>
    <mergeCell ref="A22:E22"/>
    <mergeCell ref="B23:E23"/>
    <mergeCell ref="B24:E24"/>
    <mergeCell ref="B25:E25"/>
    <mergeCell ref="B26:E26"/>
    <mergeCell ref="A28:E28"/>
    <mergeCell ref="B29:E29"/>
    <mergeCell ref="B36:E36"/>
    <mergeCell ref="B37:E37"/>
    <mergeCell ref="B38:E38"/>
    <mergeCell ref="B39:E39"/>
    <mergeCell ref="B30:E30"/>
    <mergeCell ref="B31:E31"/>
    <mergeCell ref="B32:E32"/>
    <mergeCell ref="A34:E34"/>
    <mergeCell ref="B35:E3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Data Catalogue</vt:lpstr>
      <vt:lpstr>Listing Checklist</vt:lpstr>
      <vt:lpstr>SEO &amp; Listing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chandraarjun845@gmail.com</cp:lastModifiedBy>
  <cp:revision>0</cp:revision>
  <dcterms:created xsi:type="dcterms:W3CDTF">2026-06-12T07:12:53Z</dcterms:created>
  <dcterms:modified xsi:type="dcterms:W3CDTF">2026-06-13T07:32:35Z</dcterms:modified>
  <dc:language>en-US</dc:language>
</cp:coreProperties>
</file>