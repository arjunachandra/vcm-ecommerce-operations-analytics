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MD 5\Desktop\"/>
    </mc:Choice>
  </mc:AlternateContent>
  <xr:revisionPtr revIDLastSave="0" documentId="13_ncr:1_{9F3AE7D2-320A-4BA1-850E-43B72603C94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aily Stock MIS" sheetId="1" r:id="rId1"/>
    <sheet name="Reorder Tracker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0" i="1" l="1"/>
  <c r="B13" i="2"/>
  <c r="K5" i="2"/>
  <c r="F22" i="1"/>
  <c r="H22" i="1" s="1"/>
  <c r="B14" i="2"/>
  <c r="K10" i="2"/>
  <c r="K9" i="2"/>
  <c r="K8" i="2"/>
  <c r="K7" i="2"/>
  <c r="K6" i="2"/>
  <c r="H26" i="1"/>
  <c r="F26" i="1"/>
  <c r="D26" i="1"/>
  <c r="B25" i="1"/>
  <c r="F21" i="1"/>
  <c r="H21" i="1" s="1"/>
  <c r="I20" i="1"/>
  <c r="F20" i="1"/>
  <c r="F19" i="1"/>
  <c r="I19" i="1" s="1"/>
  <c r="I18" i="1"/>
  <c r="H18" i="1"/>
  <c r="F18" i="1"/>
  <c r="F17" i="1"/>
  <c r="I17" i="1" s="1"/>
  <c r="F16" i="1"/>
  <c r="I16" i="1" s="1"/>
  <c r="F15" i="1"/>
  <c r="I15" i="1" s="1"/>
  <c r="I14" i="1"/>
  <c r="H14" i="1"/>
  <c r="F14" i="1"/>
  <c r="F13" i="1"/>
  <c r="I13" i="1" s="1"/>
  <c r="F12" i="1"/>
  <c r="I12" i="1" s="1"/>
  <c r="F11" i="1"/>
  <c r="I11" i="1" s="1"/>
  <c r="I10" i="1"/>
  <c r="H10" i="1"/>
  <c r="F10" i="1"/>
  <c r="F9" i="1"/>
  <c r="I9" i="1" s="1"/>
  <c r="F8" i="1"/>
  <c r="I8" i="1" s="1"/>
  <c r="F7" i="1"/>
  <c r="I7" i="1" s="1"/>
  <c r="I6" i="1"/>
  <c r="H6" i="1"/>
  <c r="F6" i="1"/>
  <c r="H7" i="1" l="1"/>
  <c r="H11" i="1"/>
  <c r="H15" i="1"/>
  <c r="H19" i="1"/>
  <c r="H8" i="1"/>
  <c r="H12" i="1"/>
  <c r="H16" i="1"/>
  <c r="H9" i="1"/>
  <c r="H17" i="1"/>
  <c r="I21" i="1"/>
  <c r="H13" i="1"/>
  <c r="D25" i="1" l="1"/>
  <c r="F25" i="1"/>
  <c r="H25" i="1"/>
  <c r="B26" i="1"/>
</calcChain>
</file>

<file path=xl/sharedStrings.xml><?xml version="1.0" encoding="utf-8"?>
<sst xmlns="http://schemas.openxmlformats.org/spreadsheetml/2006/main" count="289" uniqueCount="166">
  <si>
    <t>Report Date: 12 Jun 2026  |  Prepared by: [Your Name]  |  Review Frequency: Daily  |  Purpose: Track stock levels, flag reorder needs, update listing status</t>
  </si>
  <si>
    <t>🔴 REORDER NOW = Stock ≤ Reorder Level     🟡 LOW STOCK = Stock ≤ 2× Reorder Level     🟢 OK = Stock &gt; 2× Reorder Level     ⚫ LISTING PAUSED = Out of stock, listing deactivated</t>
  </si>
  <si>
    <t>PRODUCT INFO</t>
  </si>
  <si>
    <t>STOCK MOVEMENT</t>
  </si>
  <si>
    <t>REORDER CONTROL</t>
  </si>
  <si>
    <t>SUPPLIER INFO</t>
  </si>
  <si>
    <t>PLATFORM STATUS</t>
  </si>
  <si>
    <t>LISTING STATUS</t>
  </si>
  <si>
    <t>FLAGS &amp; ACTIONS</t>
  </si>
  <si>
    <t>SKU Code</t>
  </si>
  <si>
    <t>Product Name</t>
  </si>
  <si>
    <t>Category</t>
  </si>
  <si>
    <t>Opening
Stock
(Units)</t>
  </si>
  <si>
    <t>Units
Sold
(Today)</t>
  </si>
  <si>
    <t>Closing
Stock
(Units)</t>
  </si>
  <si>
    <t>Reorder
Level
(Units)</t>
  </si>
  <si>
    <t>Stock
Status</t>
  </si>
  <si>
    <t>Days of
Stock
Left</t>
  </si>
  <si>
    <t>Supplier
Name</t>
  </si>
  <si>
    <t>Last
Reorder
Date</t>
  </si>
  <si>
    <t>Amazon
Status</t>
  </si>
  <si>
    <t>Flipkart
Status</t>
  </si>
  <si>
    <t>Listing
Live?
(Y/N)</t>
  </si>
  <si>
    <t>Last
Listing
Update</t>
  </si>
  <si>
    <t>Listing
Health
Score /5</t>
  </si>
  <si>
    <t>Action
Required</t>
  </si>
  <si>
    <t>Assigned
To</t>
  </si>
  <si>
    <t>VCM-MAL-001</t>
  </si>
  <si>
    <t>Tulsi Japa Mala 108+1 Beads</t>
  </si>
  <si>
    <t>Malas &amp; Beads</t>
  </si>
  <si>
    <t>Brij Handicrafts, Vrindavan</t>
  </si>
  <si>
    <t>01-Jun-2026</t>
  </si>
  <si>
    <t>Active</t>
  </si>
  <si>
    <t>Y</t>
  </si>
  <si>
    <t>12-Jun-2026</t>
  </si>
  <si>
    <t>None — listing healthy</t>
  </si>
  <si>
    <t>—</t>
  </si>
  <si>
    <t>VCM-MAL-002</t>
  </si>
  <si>
    <t>Tulsi Kanthi Mala (3-Strand)</t>
  </si>
  <si>
    <t>28-May-2026</t>
  </si>
  <si>
    <t>10-Jun-2026</t>
  </si>
  <si>
    <t>Update title keywords — SEO score low</t>
  </si>
  <si>
    <t>Catalogue Exec</t>
  </si>
  <si>
    <t>VCM-MAL-003</t>
  </si>
  <si>
    <t>Silver-Capped Tulsi Japa Mala</t>
  </si>
  <si>
    <t>25-May-2026</t>
  </si>
  <si>
    <t>Inactive</t>
  </si>
  <si>
    <t>05-Jun-2026</t>
  </si>
  <si>
    <t>Flipkart listing inactive — reactivate</t>
  </si>
  <si>
    <t>VCM-MAL-004</t>
  </si>
  <si>
    <t>Gomukhi Japa Bag</t>
  </si>
  <si>
    <t>Shri Ram Textiles, Vrindavan</t>
  </si>
  <si>
    <t>20-May-2026</t>
  </si>
  <si>
    <t>⚠ Stock near reorder — place order today</t>
  </si>
  <si>
    <t>Supply Team</t>
  </si>
  <si>
    <t>VCM-IDL-001</t>
  </si>
  <si>
    <t>Radha Krishna Brass Idol (4 inch)</t>
  </si>
  <si>
    <t>Idols &amp; Deities</t>
  </si>
  <si>
    <t>Mathura Brass Works</t>
  </si>
  <si>
    <t>15-May-2026</t>
  </si>
  <si>
    <t>None — top performer</t>
  </si>
  <si>
    <t>VCM-IDL-002</t>
  </si>
  <si>
    <t>Laddu Gopal Idol with Poshak (3 inch)</t>
  </si>
  <si>
    <t>10-May-2026</t>
  </si>
  <si>
    <t>Out of Stock</t>
  </si>
  <si>
    <t>N</t>
  </si>
  <si>
    <t>09-Jun-2026</t>
  </si>
  <si>
    <t>🔴 CRITICAL: Stock = 5, Reorder = 12. Listing paused. Order immediately.</t>
  </si>
  <si>
    <t>VCM-IDL-003</t>
  </si>
  <si>
    <t>Shri Krishna Flute Wall Hanging (Brass)</t>
  </si>
  <si>
    <t>Not Listed</t>
  </si>
  <si>
    <t>08-Jun-2026</t>
  </si>
  <si>
    <t>Add Flipkart listing — currently not listed</t>
  </si>
  <si>
    <t>VCM-PUJ-001</t>
  </si>
  <si>
    <t>VCM Signature Puja Thali Set (7-piece)</t>
  </si>
  <si>
    <t>Puja Samagri</t>
  </si>
  <si>
    <t>Vrindavan Crafts Co.</t>
  </si>
  <si>
    <t>03-Jun-2026</t>
  </si>
  <si>
    <t>None — festival season stock top-up plan needed for Aug</t>
  </si>
  <si>
    <t>VCM-PUJ-002</t>
  </si>
  <si>
    <t>Natural Dhoop Cone Box of 50</t>
  </si>
  <si>
    <t>Govardhan Agarbatti Works</t>
  </si>
  <si>
    <t>07-Jun-2026</t>
  </si>
  <si>
    <t>None — fast mover, auto-reorder threshold set</t>
  </si>
  <si>
    <t>VCM-PUJ-003</t>
  </si>
  <si>
    <t>Panchamrit Set</t>
  </si>
  <si>
    <t>06-Jun-2026</t>
  </si>
  <si>
    <t>Stock at reorder level — initiate reorder this week</t>
  </si>
  <si>
    <t>VCM-BKS-001</t>
  </si>
  <si>
    <t>Bhagavad Gita As It Is (English)</t>
  </si>
  <si>
    <t>Books &amp; Media</t>
  </si>
  <si>
    <t>BBT India, Mumbai</t>
  </si>
  <si>
    <t>None — highest health score; bestseller</t>
  </si>
  <si>
    <t>VCM-BKS-002</t>
  </si>
  <si>
    <t>Krishna — Supreme Personality (2 Vol)</t>
  </si>
  <si>
    <t>04-Jun-2026</t>
  </si>
  <si>
    <t>None</t>
  </si>
  <si>
    <t>VCM-APP-001</t>
  </si>
  <si>
    <t>Hare Krishna Kurta (Men, Saffron)</t>
  </si>
  <si>
    <t>Apparel</t>
  </si>
  <si>
    <t>Size S: only 4 units left (below reorder). Reorder S separately.</t>
  </si>
  <si>
    <t>VCM-APP-002</t>
  </si>
  <si>
    <t>Radha-print Gopi Dress (Women)</t>
  </si>
  <si>
    <t>Images pending for Blue &amp; Yellow colors — listing health low</t>
  </si>
  <si>
    <t>Photographer</t>
  </si>
  <si>
    <t>VCM-GFT-001</t>
  </si>
  <si>
    <t>VCM Devotional Starter Kit</t>
  </si>
  <si>
    <t>Gift Kits</t>
  </si>
  <si>
    <t>Internal Assembly</t>
  </si>
  <si>
    <t>🔴 NOT LIVE: Images pending. Do not list until images received from photographer.</t>
  </si>
  <si>
    <t>VCM-GFT-002</t>
  </si>
  <si>
    <t>Vrindavan Prasad Gift Box</t>
  </si>
  <si>
    <t>VCM Kitchen + Vrindavan Crafts</t>
  </si>
  <si>
    <t>Active (FBA)</t>
  </si>
  <si>
    <t>FSSAI verification pending — do not expand to Flipkart until cleared</t>
  </si>
  <si>
    <t>Compliance</t>
  </si>
  <si>
    <t>VCM-GFT-003</t>
  </si>
  <si>
    <t>Srila Prabhupada Collector's Set</t>
  </si>
  <si>
    <t>BBT India + VCM Internal</t>
  </si>
  <si>
    <t>02-Jun-2026</t>
  </si>
  <si>
    <t>⚠ Only 6 units left. Premium SKU — reorder 4 weeks lead time. Initiate now.</t>
  </si>
  <si>
    <t>Total SKUs Tracked</t>
  </si>
  <si>
    <t>🔴 Out of Stock</t>
  </si>
  <si>
    <t>Total Units Sold Today</t>
  </si>
  <si>
    <t>Listings Not Live</t>
  </si>
  <si>
    <t>Avg Listing Health Score</t>
  </si>
  <si>
    <t>🔁  VCM GIFTS — REORDER TRACKER (Supply Chain Coordination)</t>
  </si>
  <si>
    <t>Purpose: Track every reorder from trigger → supplier contact → dispatch → stock received  |  Update daily</t>
  </si>
  <si>
    <t>Stage:  1-TRIGGERED  →  2-SUPPLIER CONTACTED  →  3-ORDER CONFIRMED  →  4-DISPATCHED  →  5-RECEIVED &amp; UPDATED</t>
  </si>
  <si>
    <t>Units
Ordered</t>
  </si>
  <si>
    <t>Supplier Name</t>
  </si>
  <si>
    <t>Supplier
Contact</t>
  </si>
  <si>
    <t>Order
Date</t>
  </si>
  <si>
    <t>Expected
Delivery</t>
  </si>
  <si>
    <t>Actual
Delivery</t>
  </si>
  <si>
    <t>Stage
(1–5)</t>
  </si>
  <si>
    <t>Cost Per
Unit (₹)</t>
  </si>
  <si>
    <t>Total
Cost (₹)</t>
  </si>
  <si>
    <t>Notes / Issues</t>
  </si>
  <si>
    <t>+91-98765-XXXXX</t>
  </si>
  <si>
    <t>25-Jun-2026</t>
  </si>
  <si>
    <t>URGENT: listing paused due to stockout. Expedite.</t>
  </si>
  <si>
    <t>+91-97654-XXXXX</t>
  </si>
  <si>
    <t>20-Jun-2026</t>
  </si>
  <si>
    <t>Standard reorder. Confirm thread color: Saffron 60%, White 40%.</t>
  </si>
  <si>
    <t>+91-98001-XXXXX</t>
  </si>
  <si>
    <t>14-Jun-2026</t>
  </si>
  <si>
    <t>22-Jun-2026</t>
  </si>
  <si>
    <t>Triggered by MIS today. Reorder qty = 40 units (5-week cover).</t>
  </si>
  <si>
    <t>+91-22-XXXX-XXXX</t>
  </si>
  <si>
    <t>10-Jul-2026</t>
  </si>
  <si>
    <t>4-week lead time. Premium SKU — confirm packaging spec before order.</t>
  </si>
  <si>
    <t>Hare Krishna Kurta — Size S only</t>
  </si>
  <si>
    <t>13-Jun-2026</t>
  </si>
  <si>
    <t>21-Jun-2026</t>
  </si>
  <si>
    <t>Only size S reorder needed. Other sizes OK.</t>
  </si>
  <si>
    <t>+91-96555-XXXXX</t>
  </si>
  <si>
    <t>✅ RECEIVED. Stock updated in MIS. Listing reactivated.</t>
  </si>
  <si>
    <t>💰  REORDER COST SUMMARY</t>
  </si>
  <si>
    <t>Active Reorders (Stage 1-4)</t>
  </si>
  <si>
    <t>Total Pending Reorder Value (₹)</t>
  </si>
  <si>
    <t xml:space="preserve"> OK (Healthy Stock)</t>
  </si>
  <si>
    <t xml:space="preserve"> Low Stock — Watch</t>
  </si>
  <si>
    <t xml:space="preserve"> Reorder Now</t>
  </si>
  <si>
    <t xml:space="preserve">  TODAY'S MIS SUMMARY</t>
  </si>
  <si>
    <t xml:space="preserve"> VCM GIFTS — DAILY STOCK MIS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</si>
</sst>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28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i/>
      <sz val="9"/>
      <color rgb="FF2F2F2F"/>
      <name val="Arial"/>
      <charset val="1"/>
    </font>
    <font>
      <i/>
      <sz val="8"/>
      <color rgb="FF767676"/>
      <name val="Arial"/>
      <charset val="1"/>
    </font>
    <font>
      <b/>
      <sz val="9"/>
      <color rgb="FFFFFFFF"/>
      <name val="Arial"/>
      <charset val="1"/>
    </font>
    <font>
      <b/>
      <sz val="8"/>
      <color rgb="FFFFFFFF"/>
      <name val="Arial"/>
      <charset val="1"/>
    </font>
    <font>
      <b/>
      <sz val="9"/>
      <color rgb="FF2F2F2F"/>
      <name val="Arial"/>
      <charset val="1"/>
    </font>
    <font>
      <sz val="9"/>
      <color rgb="FF2F2F2F"/>
      <name val="Arial"/>
      <charset val="1"/>
    </font>
    <font>
      <sz val="10"/>
      <color rgb="FF2F2F2F"/>
      <name val="Arial"/>
      <charset val="1"/>
    </font>
    <font>
      <b/>
      <sz val="10"/>
      <color rgb="FF2F2F2F"/>
      <name val="Arial"/>
      <charset val="1"/>
    </font>
    <font>
      <b/>
      <sz val="9"/>
      <color rgb="FF375623"/>
      <name val="Arial"/>
      <charset val="1"/>
    </font>
    <font>
      <b/>
      <sz val="10"/>
      <color rgb="FF375623"/>
      <name val="Arial"/>
      <charset val="1"/>
    </font>
    <font>
      <sz val="9"/>
      <color rgb="FF375623"/>
      <name val="Arial"/>
      <charset val="1"/>
    </font>
    <font>
      <sz val="9"/>
      <color rgb="FF767676"/>
      <name val="Arial"/>
      <charset val="1"/>
    </font>
    <font>
      <sz val="10"/>
      <color rgb="FF7F6000"/>
      <name val="Arial"/>
      <charset val="1"/>
    </font>
    <font>
      <b/>
      <sz val="9"/>
      <color rgb="FF2C4A6E"/>
      <name val="Arial"/>
      <charset val="1"/>
    </font>
    <font>
      <sz val="9"/>
      <color rgb="FF7F6000"/>
      <name val="Arial"/>
      <charset val="1"/>
    </font>
    <font>
      <b/>
      <sz val="9"/>
      <color rgb="FFC00000"/>
      <name val="Arial"/>
      <charset val="1"/>
    </font>
    <font>
      <b/>
      <sz val="10"/>
      <color rgb="FFC00000"/>
      <name val="Arial"/>
      <charset val="1"/>
    </font>
    <font>
      <b/>
      <sz val="11"/>
      <color rgb="FFFFFFFF"/>
      <name val="Arial"/>
      <charset val="1"/>
    </font>
    <font>
      <b/>
      <sz val="12"/>
      <color rgb="FF2F2F2F"/>
      <name val="Arial"/>
      <charset val="1"/>
    </font>
    <font>
      <b/>
      <sz val="13"/>
      <color rgb="FFFFFFFF"/>
      <name val="Arial"/>
      <charset val="1"/>
    </font>
    <font>
      <b/>
      <sz val="11"/>
      <color rgb="FF2C4A6E"/>
      <name val="Arial"/>
      <charset val="1"/>
    </font>
    <font>
      <b/>
      <sz val="11"/>
      <color rgb="FF7F6000"/>
      <name val="Arial"/>
      <charset val="1"/>
    </font>
    <font>
      <b/>
      <sz val="11"/>
      <color rgb="FFC00000"/>
      <name val="Arial"/>
      <charset val="1"/>
    </font>
    <font>
      <b/>
      <sz val="11"/>
      <color rgb="FF375623"/>
      <name val="Arial"/>
      <charset val="1"/>
    </font>
    <font>
      <b/>
      <sz val="10"/>
      <color rgb="FFFFFFFF"/>
      <name val="Arial"/>
      <charset val="1"/>
    </font>
    <font>
      <b/>
      <sz val="11"/>
      <color rgb="FF2F2F2F"/>
      <name val="Arial"/>
      <charset val="1"/>
    </font>
  </fonts>
  <fills count="19">
    <fill>
      <patternFill patternType="none"/>
    </fill>
    <fill>
      <patternFill patternType="gray125"/>
    </fill>
    <fill>
      <patternFill patternType="solid">
        <fgColor rgb="FFE65C00"/>
        <bgColor rgb="FFFF9900"/>
      </patternFill>
    </fill>
    <fill>
      <patternFill patternType="solid">
        <fgColor rgb="FFFFFACD"/>
        <bgColor rgb="FFFFFBF5"/>
      </patternFill>
    </fill>
    <fill>
      <patternFill patternType="solid">
        <fgColor rgb="FFF2F2F2"/>
        <bgColor rgb="FFFFFBF5"/>
      </patternFill>
    </fill>
    <fill>
      <patternFill patternType="solid">
        <fgColor rgb="FF1F2D3D"/>
        <bgColor rgb="FF2F2F2F"/>
      </patternFill>
    </fill>
    <fill>
      <patternFill patternType="solid">
        <fgColor rgb="FF2C4A6E"/>
        <bgColor rgb="FF375623"/>
      </patternFill>
    </fill>
    <fill>
      <patternFill patternType="solid">
        <fgColor rgb="FF4472C4"/>
        <bgColor rgb="FF767676"/>
      </patternFill>
    </fill>
    <fill>
      <patternFill patternType="solid">
        <fgColor rgb="FF833C00"/>
        <bgColor rgb="FF7F6000"/>
      </patternFill>
    </fill>
    <fill>
      <patternFill patternType="solid">
        <fgColor rgb="FF375623"/>
        <bgColor rgb="FF2C4A6E"/>
      </patternFill>
    </fill>
    <fill>
      <patternFill patternType="solid">
        <fgColor rgb="FF4C2D6E"/>
        <bgColor rgb="FF2F2F2F"/>
      </patternFill>
    </fill>
    <fill>
      <patternFill patternType="solid">
        <fgColor rgb="FFFFFBF5"/>
        <bgColor rgb="FFFFFFFF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FFBF5"/>
      </patternFill>
    </fill>
    <fill>
      <patternFill patternType="solid">
        <fgColor rgb="FFFFEB9C"/>
        <bgColor rgb="FFFFFACD"/>
      </patternFill>
    </fill>
    <fill>
      <patternFill patternType="solid">
        <fgColor rgb="FFD9E1F2"/>
        <bgColor rgb="FFE2EFDA"/>
      </patternFill>
    </fill>
    <fill>
      <patternFill patternType="solid">
        <fgColor rgb="FFFCE4D6"/>
        <bgColor rgb="FFF2F2F2"/>
      </patternFill>
    </fill>
    <fill>
      <patternFill patternType="solid">
        <fgColor rgb="FF7F6000"/>
        <bgColor rgb="FF833C00"/>
      </patternFill>
    </fill>
    <fill>
      <patternFill patternType="solid">
        <fgColor rgb="FFC00000"/>
        <bgColor rgb="FF800000"/>
      </patternFill>
    </fill>
  </fills>
  <borders count="3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5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left" vertical="center" wrapText="1"/>
    </xf>
    <xf numFmtId="0" fontId="8" fillId="11" borderId="2" xfId="0" applyFont="1" applyFill="1" applyBorder="1" applyAlignment="1">
      <alignment horizontal="center" vertical="center" wrapText="1"/>
    </xf>
    <xf numFmtId="1" fontId="9" fillId="11" borderId="2" xfId="0" applyNumberFormat="1" applyFont="1" applyFill="1" applyBorder="1" applyAlignment="1">
      <alignment horizontal="center" vertical="center" wrapText="1"/>
    </xf>
    <xf numFmtId="0" fontId="10" fillId="12" borderId="2" xfId="0" applyFont="1" applyFill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center" vertical="center" wrapText="1"/>
    </xf>
    <xf numFmtId="0" fontId="12" fillId="12" borderId="2" xfId="0" applyFont="1" applyFill="1" applyBorder="1" applyAlignment="1">
      <alignment horizontal="left" vertical="center" wrapText="1"/>
    </xf>
    <xf numFmtId="0" fontId="13" fillId="11" borderId="2" xfId="0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horizontal="left" vertical="center" wrapText="1"/>
    </xf>
    <xf numFmtId="0" fontId="8" fillId="13" borderId="2" xfId="0" applyFont="1" applyFill="1" applyBorder="1" applyAlignment="1">
      <alignment horizontal="center" vertical="center" wrapText="1"/>
    </xf>
    <xf numFmtId="1" fontId="9" fillId="13" borderId="2" xfId="0" applyNumberFormat="1" applyFont="1" applyFill="1" applyBorder="1" applyAlignment="1">
      <alignment horizontal="center" vertical="center" wrapText="1"/>
    </xf>
    <xf numFmtId="0" fontId="14" fillId="14" borderId="2" xfId="0" applyFont="1" applyFill="1" applyBorder="1" applyAlignment="1">
      <alignment horizontal="center" vertical="center" wrapText="1"/>
    </xf>
    <xf numFmtId="0" fontId="15" fillId="15" borderId="2" xfId="0" applyFont="1" applyFill="1" applyBorder="1" applyAlignment="1">
      <alignment horizontal="center" vertical="center" wrapText="1"/>
    </xf>
    <xf numFmtId="0" fontId="16" fillId="14" borderId="2" xfId="0" applyFont="1" applyFill="1" applyBorder="1" applyAlignment="1">
      <alignment horizontal="center" vertical="center" wrapText="1"/>
    </xf>
    <xf numFmtId="0" fontId="16" fillId="14" borderId="2" xfId="0" applyFont="1" applyFill="1" applyBorder="1" applyAlignment="1">
      <alignment horizontal="left" vertical="center" wrapText="1"/>
    </xf>
    <xf numFmtId="0" fontId="17" fillId="16" borderId="2" xfId="0" applyFont="1" applyFill="1" applyBorder="1" applyAlignment="1">
      <alignment horizontal="center" vertical="center" wrapText="1"/>
    </xf>
    <xf numFmtId="0" fontId="18" fillId="16" borderId="2" xfId="0" applyFont="1" applyFill="1" applyBorder="1" applyAlignment="1">
      <alignment horizontal="center" vertical="center" wrapText="1"/>
    </xf>
    <xf numFmtId="0" fontId="17" fillId="16" borderId="2" xfId="0" applyFont="1" applyFill="1" applyBorder="1" applyAlignment="1">
      <alignment horizontal="left" vertical="center" wrapText="1"/>
    </xf>
    <xf numFmtId="0" fontId="13" fillId="13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20" fillId="3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left" vertical="center" wrapText="1"/>
    </xf>
    <xf numFmtId="0" fontId="4" fillId="17" borderId="2" xfId="0" applyFont="1" applyFill="1" applyBorder="1" applyAlignment="1">
      <alignment horizontal="left" vertical="center" wrapText="1"/>
    </xf>
    <xf numFmtId="0" fontId="4" fillId="18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horizontal="center" vertical="center" wrapText="1"/>
    </xf>
    <xf numFmtId="0" fontId="22" fillId="15" borderId="2" xfId="0" applyFont="1" applyFill="1" applyBorder="1" applyAlignment="1">
      <alignment horizontal="center" vertical="center" wrapText="1"/>
    </xf>
    <xf numFmtId="164" fontId="9" fillId="3" borderId="2" xfId="0" applyNumberFormat="1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23" fillId="14" borderId="2" xfId="0" applyFont="1" applyFill="1" applyBorder="1" applyAlignment="1">
      <alignment horizontal="center" vertical="center" wrapText="1"/>
    </xf>
    <xf numFmtId="0" fontId="24" fillId="16" borderId="2" xfId="0" applyFont="1" applyFill="1" applyBorder="1" applyAlignment="1">
      <alignment horizontal="center" vertical="center" wrapText="1"/>
    </xf>
    <xf numFmtId="0" fontId="25" fillId="12" borderId="2" xfId="0" applyFont="1" applyFill="1" applyBorder="1" applyAlignment="1">
      <alignment horizontal="center" vertical="center" wrapText="1"/>
    </xf>
    <xf numFmtId="0" fontId="4" fillId="2" borderId="2" xfId="0" applyFont="1" applyFill="1" applyBorder="1"/>
    <xf numFmtId="0" fontId="27" fillId="3" borderId="2" xfId="0" applyFont="1" applyFill="1" applyBorder="1" applyAlignment="1">
      <alignment horizontal="center" vertical="center" wrapText="1"/>
    </xf>
    <xf numFmtId="0" fontId="4" fillId="6" borderId="2" xfId="0" applyFont="1" applyFill="1" applyBorder="1"/>
    <xf numFmtId="164" fontId="27" fillId="3" borderId="2" xfId="0" applyNumberFormat="1" applyFont="1" applyFill="1" applyBorder="1" applyAlignment="1">
      <alignment horizontal="center" vertical="center" wrapText="1"/>
    </xf>
    <xf numFmtId="0" fontId="19" fillId="5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1" fillId="2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26" fillId="5" borderId="0" xfId="0" applyFont="1" applyFill="1" applyBorder="1" applyAlignment="1">
      <alignment horizontal="center" vertical="center" wrapText="1"/>
    </xf>
    <xf numFmtId="15" fontId="7" fillId="11" borderId="2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CCCCC"/>
      <rgbColor rgb="FF767676"/>
      <rgbColor rgb="FF9999FF"/>
      <rgbColor rgb="FF993366"/>
      <rgbColor rgb="FFFFFACD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BF5"/>
      <rgbColor rgb="FFE2EFDA"/>
      <rgbColor rgb="FFFFEB9C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E65C00"/>
      <rgbColor rgb="FF2C4A6E"/>
      <rgbColor rgb="FF969696"/>
      <rgbColor rgb="FF1F2D3D"/>
      <rgbColor rgb="FF339966"/>
      <rgbColor rgb="FF003300"/>
      <rgbColor rgb="FF375623"/>
      <rgbColor rgb="FF833C00"/>
      <rgbColor rgb="FF993366"/>
      <rgbColor rgb="FF4C2D6E"/>
      <rgbColor rgb="FF2F2F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showGridLines="0" tabSelected="1" zoomScaleNormal="100" workbookViewId="0">
      <pane ySplit="5" topLeftCell="A13" activePane="bottomLeft" state="frozen"/>
      <selection pane="bottomLeft" activeCell="F26" sqref="F26"/>
    </sheetView>
  </sheetViews>
  <sheetFormatPr defaultColWidth="8.7109375" defaultRowHeight="15" x14ac:dyDescent="0.25"/>
  <cols>
    <col min="1" max="1" width="17.28515625" bestFit="1" customWidth="1"/>
    <col min="2" max="2" width="29.140625" bestFit="1" customWidth="1"/>
    <col min="3" max="3" width="19.140625" bestFit="1" customWidth="1"/>
    <col min="4" max="4" width="7.5703125" bestFit="1" customWidth="1"/>
    <col min="5" max="5" width="20.42578125" bestFit="1" customWidth="1"/>
    <col min="6" max="6" width="7" bestFit="1" customWidth="1"/>
    <col min="7" max="7" width="21" bestFit="1" customWidth="1"/>
    <col min="8" max="8" width="14" customWidth="1"/>
    <col min="9" max="9" width="6.7109375" bestFit="1" customWidth="1"/>
    <col min="10" max="10" width="17.5703125" bestFit="1" customWidth="1"/>
    <col min="11" max="11" width="11.140625" bestFit="1" customWidth="1"/>
    <col min="12" max="13" width="11" bestFit="1" customWidth="1"/>
    <col min="14" max="14" width="6.42578125" bestFit="1" customWidth="1"/>
    <col min="15" max="15" width="11" bestFit="1" customWidth="1"/>
    <col min="16" max="16" width="7.28515625" bestFit="1" customWidth="1"/>
    <col min="17" max="17" width="30" customWidth="1"/>
    <col min="18" max="18" width="13.7109375" bestFit="1" customWidth="1"/>
  </cols>
  <sheetData>
    <row r="1" spans="1:18" ht="33.75" customHeight="1" x14ac:dyDescent="0.25">
      <c r="A1" s="49" t="s">
        <v>165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</row>
    <row r="2" spans="1:18" ht="15.75" customHeight="1" x14ac:dyDescent="0.25">
      <c r="A2" s="50" t="s">
        <v>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</row>
    <row r="3" spans="1:18" ht="13.5" customHeight="1" x14ac:dyDescent="0.25">
      <c r="A3" s="51" t="s">
        <v>1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</row>
    <row r="4" spans="1:18" ht="18" customHeight="1" x14ac:dyDescent="0.25">
      <c r="A4" s="52" t="s">
        <v>2</v>
      </c>
      <c r="B4" s="52"/>
      <c r="C4" s="52"/>
      <c r="D4" s="53" t="s">
        <v>3</v>
      </c>
      <c r="E4" s="53"/>
      <c r="F4" s="53"/>
      <c r="G4" s="54" t="s">
        <v>4</v>
      </c>
      <c r="H4" s="54"/>
      <c r="I4" s="54"/>
      <c r="J4" s="55" t="s">
        <v>5</v>
      </c>
      <c r="K4" s="55"/>
      <c r="L4" s="56" t="s">
        <v>6</v>
      </c>
      <c r="M4" s="56"/>
      <c r="N4" s="57" t="s">
        <v>7</v>
      </c>
      <c r="O4" s="57"/>
      <c r="P4" s="57"/>
      <c r="Q4" s="58" t="s">
        <v>8</v>
      </c>
      <c r="R4" s="58"/>
    </row>
    <row r="5" spans="1:18" ht="45.75" customHeight="1" x14ac:dyDescent="0.25">
      <c r="A5" s="1" t="s">
        <v>9</v>
      </c>
      <c r="B5" s="1" t="s">
        <v>10</v>
      </c>
      <c r="C5" s="1" t="s">
        <v>11</v>
      </c>
      <c r="D5" s="2" t="s">
        <v>12</v>
      </c>
      <c r="E5" s="2" t="s">
        <v>13</v>
      </c>
      <c r="F5" s="2" t="s">
        <v>14</v>
      </c>
      <c r="G5" s="3" t="s">
        <v>15</v>
      </c>
      <c r="H5" s="3" t="s">
        <v>16</v>
      </c>
      <c r="I5" s="3" t="s">
        <v>17</v>
      </c>
      <c r="J5" s="4" t="s">
        <v>18</v>
      </c>
      <c r="K5" s="4" t="s">
        <v>19</v>
      </c>
      <c r="L5" s="5" t="s">
        <v>20</v>
      </c>
      <c r="M5" s="5" t="s">
        <v>21</v>
      </c>
      <c r="N5" s="6" t="s">
        <v>22</v>
      </c>
      <c r="O5" s="6" t="s">
        <v>23</v>
      </c>
      <c r="P5" s="6" t="s">
        <v>24</v>
      </c>
      <c r="Q5" s="7" t="s">
        <v>25</v>
      </c>
      <c r="R5" s="7" t="s">
        <v>26</v>
      </c>
    </row>
    <row r="6" spans="1:18" ht="37.5" customHeight="1" x14ac:dyDescent="0.25">
      <c r="A6" s="8" t="s">
        <v>27</v>
      </c>
      <c r="B6" s="9" t="s">
        <v>28</v>
      </c>
      <c r="C6" s="9" t="s">
        <v>29</v>
      </c>
      <c r="D6" s="10">
        <v>143</v>
      </c>
      <c r="E6" s="10">
        <v>12</v>
      </c>
      <c r="F6" s="11">
        <f t="shared" ref="F6:F22" si="0">D6-E6</f>
        <v>131</v>
      </c>
      <c r="G6" s="10">
        <v>20</v>
      </c>
      <c r="H6" s="8" t="str">
        <f t="shared" ref="H6:H22" si="1">IF(F6=0,"🔴 OUT OF STOCK",IF(F6&lt;=G6,"🔴 REORDER NOW",IF(F6&lt;=2*G6,"🟡 LOW STOCK","🟢 OK")))</f>
        <v>🟢 OK</v>
      </c>
      <c r="I6" s="10">
        <f t="shared" ref="I6:I22" si="2">IF(E6=0,"N/A",ROUND(F6/E6,0))</f>
        <v>11</v>
      </c>
      <c r="J6" s="9" t="s">
        <v>30</v>
      </c>
      <c r="K6" s="9" t="s">
        <v>31</v>
      </c>
      <c r="L6" s="12" t="s">
        <v>32</v>
      </c>
      <c r="M6" s="12" t="s">
        <v>32</v>
      </c>
      <c r="N6" s="13" t="s">
        <v>33</v>
      </c>
      <c r="O6" s="9" t="s">
        <v>34</v>
      </c>
      <c r="P6" s="13">
        <v>4.2</v>
      </c>
      <c r="Q6" s="14" t="s">
        <v>35</v>
      </c>
      <c r="R6" s="15" t="s">
        <v>36</v>
      </c>
    </row>
    <row r="7" spans="1:18" ht="37.5" customHeight="1" x14ac:dyDescent="0.25">
      <c r="A7" s="16" t="s">
        <v>37</v>
      </c>
      <c r="B7" s="17" t="s">
        <v>38</v>
      </c>
      <c r="C7" s="17" t="s">
        <v>29</v>
      </c>
      <c r="D7" s="18">
        <v>87</v>
      </c>
      <c r="E7" s="18">
        <v>9</v>
      </c>
      <c r="F7" s="19">
        <f t="shared" si="0"/>
        <v>78</v>
      </c>
      <c r="G7" s="18">
        <v>15</v>
      </c>
      <c r="H7" s="16" t="str">
        <f t="shared" si="1"/>
        <v>🟢 OK</v>
      </c>
      <c r="I7" s="18">
        <f t="shared" si="2"/>
        <v>9</v>
      </c>
      <c r="J7" s="17" t="s">
        <v>30</v>
      </c>
      <c r="K7" s="17" t="s">
        <v>39</v>
      </c>
      <c r="L7" s="12" t="s">
        <v>32</v>
      </c>
      <c r="M7" s="12" t="s">
        <v>32</v>
      </c>
      <c r="N7" s="13" t="s">
        <v>33</v>
      </c>
      <c r="O7" s="17" t="s">
        <v>40</v>
      </c>
      <c r="P7" s="20">
        <v>3.8</v>
      </c>
      <c r="Q7" s="17" t="s">
        <v>41</v>
      </c>
      <c r="R7" s="21" t="s">
        <v>42</v>
      </c>
    </row>
    <row r="8" spans="1:18" ht="37.5" customHeight="1" x14ac:dyDescent="0.25">
      <c r="A8" s="8" t="s">
        <v>43</v>
      </c>
      <c r="B8" s="9" t="s">
        <v>44</v>
      </c>
      <c r="C8" s="9" t="s">
        <v>29</v>
      </c>
      <c r="D8" s="10">
        <v>34</v>
      </c>
      <c r="E8" s="10">
        <v>6</v>
      </c>
      <c r="F8" s="11">
        <f t="shared" si="0"/>
        <v>28</v>
      </c>
      <c r="G8" s="10">
        <v>15</v>
      </c>
      <c r="H8" s="8" t="str">
        <f t="shared" si="1"/>
        <v>🟡 LOW STOCK</v>
      </c>
      <c r="I8" s="10">
        <f t="shared" si="2"/>
        <v>5</v>
      </c>
      <c r="J8" s="9" t="s">
        <v>30</v>
      </c>
      <c r="K8" s="9" t="s">
        <v>45</v>
      </c>
      <c r="L8" s="12" t="s">
        <v>32</v>
      </c>
      <c r="M8" s="22" t="s">
        <v>46</v>
      </c>
      <c r="N8" s="13" t="s">
        <v>33</v>
      </c>
      <c r="O8" s="9" t="s">
        <v>47</v>
      </c>
      <c r="P8" s="20">
        <v>3.5</v>
      </c>
      <c r="Q8" s="9" t="s">
        <v>48</v>
      </c>
      <c r="R8" s="21" t="s">
        <v>42</v>
      </c>
    </row>
    <row r="9" spans="1:18" ht="37.5" customHeight="1" x14ac:dyDescent="0.25">
      <c r="A9" s="16" t="s">
        <v>49</v>
      </c>
      <c r="B9" s="17" t="s">
        <v>50</v>
      </c>
      <c r="C9" s="17" t="s">
        <v>29</v>
      </c>
      <c r="D9" s="18">
        <v>18</v>
      </c>
      <c r="E9" s="18">
        <v>5</v>
      </c>
      <c r="F9" s="19">
        <f t="shared" si="0"/>
        <v>13</v>
      </c>
      <c r="G9" s="18">
        <v>10</v>
      </c>
      <c r="H9" s="16" t="str">
        <f t="shared" si="1"/>
        <v>🟡 LOW STOCK</v>
      </c>
      <c r="I9" s="18">
        <f t="shared" si="2"/>
        <v>3</v>
      </c>
      <c r="J9" s="17" t="s">
        <v>51</v>
      </c>
      <c r="K9" s="17" t="s">
        <v>52</v>
      </c>
      <c r="L9" s="12" t="s">
        <v>32</v>
      </c>
      <c r="M9" s="12" t="s">
        <v>32</v>
      </c>
      <c r="N9" s="13" t="s">
        <v>33</v>
      </c>
      <c r="O9" s="17" t="s">
        <v>31</v>
      </c>
      <c r="P9" s="13">
        <v>4</v>
      </c>
      <c r="Q9" s="23" t="s">
        <v>53</v>
      </c>
      <c r="R9" s="21" t="s">
        <v>54</v>
      </c>
    </row>
    <row r="10" spans="1:18" ht="37.5" customHeight="1" x14ac:dyDescent="0.25">
      <c r="A10" s="8" t="s">
        <v>55</v>
      </c>
      <c r="B10" s="9" t="s">
        <v>56</v>
      </c>
      <c r="C10" s="9" t="s">
        <v>57</v>
      </c>
      <c r="D10" s="10">
        <v>56</v>
      </c>
      <c r="E10" s="10">
        <v>4</v>
      </c>
      <c r="F10" s="11">
        <f t="shared" si="0"/>
        <v>52</v>
      </c>
      <c r="G10" s="10">
        <v>10</v>
      </c>
      <c r="H10" s="8" t="str">
        <f t="shared" si="1"/>
        <v>🟢 OK</v>
      </c>
      <c r="I10" s="10">
        <f t="shared" si="2"/>
        <v>13</v>
      </c>
      <c r="J10" s="9" t="s">
        <v>58</v>
      </c>
      <c r="K10" s="9" t="s">
        <v>59</v>
      </c>
      <c r="L10" s="12" t="s">
        <v>32</v>
      </c>
      <c r="M10" s="12" t="s">
        <v>32</v>
      </c>
      <c r="N10" s="13" t="s">
        <v>33</v>
      </c>
      <c r="O10" s="9" t="s">
        <v>34</v>
      </c>
      <c r="P10" s="13">
        <v>4.5</v>
      </c>
      <c r="Q10" s="14" t="s">
        <v>60</v>
      </c>
      <c r="R10" s="15" t="s">
        <v>36</v>
      </c>
    </row>
    <row r="11" spans="1:18" ht="37.5" customHeight="1" x14ac:dyDescent="0.25">
      <c r="A11" s="16" t="s">
        <v>61</v>
      </c>
      <c r="B11" s="17" t="s">
        <v>62</v>
      </c>
      <c r="C11" s="17" t="s">
        <v>57</v>
      </c>
      <c r="D11" s="18">
        <v>8</v>
      </c>
      <c r="E11" s="18">
        <v>3</v>
      </c>
      <c r="F11" s="19">
        <f t="shared" si="0"/>
        <v>5</v>
      </c>
      <c r="G11" s="18">
        <v>12</v>
      </c>
      <c r="H11" s="16" t="str">
        <f t="shared" si="1"/>
        <v>🔴 REORDER NOW</v>
      </c>
      <c r="I11" s="18">
        <f t="shared" si="2"/>
        <v>2</v>
      </c>
      <c r="J11" s="17" t="s">
        <v>58</v>
      </c>
      <c r="K11" s="17" t="s">
        <v>63</v>
      </c>
      <c r="L11" s="24" t="s">
        <v>64</v>
      </c>
      <c r="M11" s="24" t="s">
        <v>64</v>
      </c>
      <c r="N11" s="25" t="s">
        <v>65</v>
      </c>
      <c r="O11" s="17" t="s">
        <v>66</v>
      </c>
      <c r="P11" s="25">
        <v>2</v>
      </c>
      <c r="Q11" s="26" t="s">
        <v>67</v>
      </c>
      <c r="R11" s="21" t="s">
        <v>54</v>
      </c>
    </row>
    <row r="12" spans="1:18" ht="37.5" customHeight="1" x14ac:dyDescent="0.25">
      <c r="A12" s="8" t="s">
        <v>68</v>
      </c>
      <c r="B12" s="9" t="s">
        <v>69</v>
      </c>
      <c r="C12" s="9" t="s">
        <v>57</v>
      </c>
      <c r="D12" s="10">
        <v>22</v>
      </c>
      <c r="E12" s="10">
        <v>2</v>
      </c>
      <c r="F12" s="11">
        <f t="shared" si="0"/>
        <v>20</v>
      </c>
      <c r="G12" s="10">
        <v>5</v>
      </c>
      <c r="H12" s="8" t="str">
        <f t="shared" si="1"/>
        <v>🟢 OK</v>
      </c>
      <c r="I12" s="10">
        <f t="shared" si="2"/>
        <v>10</v>
      </c>
      <c r="J12" s="9" t="s">
        <v>58</v>
      </c>
      <c r="K12" s="9" t="s">
        <v>31</v>
      </c>
      <c r="L12" s="12" t="s">
        <v>32</v>
      </c>
      <c r="M12" s="22" t="s">
        <v>70</v>
      </c>
      <c r="N12" s="13" t="s">
        <v>33</v>
      </c>
      <c r="O12" s="9" t="s">
        <v>71</v>
      </c>
      <c r="P12" s="20">
        <v>3.2</v>
      </c>
      <c r="Q12" s="9" t="s">
        <v>72</v>
      </c>
      <c r="R12" s="21" t="s">
        <v>42</v>
      </c>
    </row>
    <row r="13" spans="1:18" ht="37.5" customHeight="1" x14ac:dyDescent="0.25">
      <c r="A13" s="16" t="s">
        <v>73</v>
      </c>
      <c r="B13" s="17" t="s">
        <v>74</v>
      </c>
      <c r="C13" s="17" t="s">
        <v>75</v>
      </c>
      <c r="D13" s="18">
        <v>41</v>
      </c>
      <c r="E13" s="18">
        <v>7</v>
      </c>
      <c r="F13" s="19">
        <f t="shared" si="0"/>
        <v>34</v>
      </c>
      <c r="G13" s="18">
        <v>8</v>
      </c>
      <c r="H13" s="16" t="str">
        <f t="shared" si="1"/>
        <v>🟢 OK</v>
      </c>
      <c r="I13" s="18">
        <f t="shared" si="2"/>
        <v>5</v>
      </c>
      <c r="J13" s="17" t="s">
        <v>76</v>
      </c>
      <c r="K13" s="17" t="s">
        <v>77</v>
      </c>
      <c r="L13" s="12" t="s">
        <v>32</v>
      </c>
      <c r="M13" s="12" t="s">
        <v>32</v>
      </c>
      <c r="N13" s="13" t="s">
        <v>33</v>
      </c>
      <c r="O13" s="17" t="s">
        <v>34</v>
      </c>
      <c r="P13" s="13">
        <v>4.0999999999999996</v>
      </c>
      <c r="Q13" s="14" t="s">
        <v>78</v>
      </c>
      <c r="R13" s="21" t="s">
        <v>54</v>
      </c>
    </row>
    <row r="14" spans="1:18" ht="37.5" customHeight="1" x14ac:dyDescent="0.25">
      <c r="A14" s="8" t="s">
        <v>79</v>
      </c>
      <c r="B14" s="9" t="s">
        <v>80</v>
      </c>
      <c r="C14" s="9" t="s">
        <v>75</v>
      </c>
      <c r="D14" s="10">
        <v>210</v>
      </c>
      <c r="E14" s="10">
        <v>28</v>
      </c>
      <c r="F14" s="11">
        <f t="shared" si="0"/>
        <v>182</v>
      </c>
      <c r="G14" s="10">
        <v>50</v>
      </c>
      <c r="H14" s="8" t="str">
        <f t="shared" si="1"/>
        <v>🟢 OK</v>
      </c>
      <c r="I14" s="10">
        <f t="shared" si="2"/>
        <v>7</v>
      </c>
      <c r="J14" s="9" t="s">
        <v>81</v>
      </c>
      <c r="K14" s="62">
        <v>46170</v>
      </c>
      <c r="L14" s="12" t="s">
        <v>32</v>
      </c>
      <c r="M14" s="12" t="s">
        <v>32</v>
      </c>
      <c r="N14" s="13" t="s">
        <v>33</v>
      </c>
      <c r="O14" s="9" t="s">
        <v>82</v>
      </c>
      <c r="P14" s="13">
        <v>4.3</v>
      </c>
      <c r="Q14" s="14" t="s">
        <v>83</v>
      </c>
      <c r="R14" s="15" t="s">
        <v>36</v>
      </c>
    </row>
    <row r="15" spans="1:18" ht="37.5" customHeight="1" x14ac:dyDescent="0.25">
      <c r="A15" s="16" t="s">
        <v>84</v>
      </c>
      <c r="B15" s="17" t="s">
        <v>85</v>
      </c>
      <c r="C15" s="17" t="s">
        <v>75</v>
      </c>
      <c r="D15" s="18">
        <v>14</v>
      </c>
      <c r="E15" s="18">
        <v>4</v>
      </c>
      <c r="F15" s="19">
        <f t="shared" si="0"/>
        <v>10</v>
      </c>
      <c r="G15" s="18">
        <v>8</v>
      </c>
      <c r="H15" s="16" t="str">
        <f t="shared" si="1"/>
        <v>🟡 LOW STOCK</v>
      </c>
      <c r="I15" s="18">
        <f t="shared" si="2"/>
        <v>3</v>
      </c>
      <c r="J15" s="17" t="s">
        <v>76</v>
      </c>
      <c r="K15" s="17" t="s">
        <v>47</v>
      </c>
      <c r="L15" s="12" t="s">
        <v>32</v>
      </c>
      <c r="M15" s="12" t="s">
        <v>32</v>
      </c>
      <c r="N15" s="13" t="s">
        <v>33</v>
      </c>
      <c r="O15" s="17" t="s">
        <v>86</v>
      </c>
      <c r="P15" s="20">
        <v>3.9</v>
      </c>
      <c r="Q15" s="17" t="s">
        <v>87</v>
      </c>
      <c r="R15" s="21" t="s">
        <v>54</v>
      </c>
    </row>
    <row r="16" spans="1:18" ht="37.5" customHeight="1" x14ac:dyDescent="0.25">
      <c r="A16" s="8" t="s">
        <v>88</v>
      </c>
      <c r="B16" s="9" t="s">
        <v>89</v>
      </c>
      <c r="C16" s="9" t="s">
        <v>90</v>
      </c>
      <c r="D16" s="10">
        <v>320</v>
      </c>
      <c r="E16" s="10">
        <v>22</v>
      </c>
      <c r="F16" s="11">
        <f t="shared" si="0"/>
        <v>298</v>
      </c>
      <c r="G16" s="10">
        <v>50</v>
      </c>
      <c r="H16" s="8" t="str">
        <f t="shared" si="1"/>
        <v>🟢 OK</v>
      </c>
      <c r="I16" s="10">
        <f t="shared" si="2"/>
        <v>14</v>
      </c>
      <c r="J16" s="9" t="s">
        <v>91</v>
      </c>
      <c r="K16" s="9" t="s">
        <v>31</v>
      </c>
      <c r="L16" s="12" t="s">
        <v>32</v>
      </c>
      <c r="M16" s="12" t="s">
        <v>32</v>
      </c>
      <c r="N16" s="13" t="s">
        <v>33</v>
      </c>
      <c r="O16" s="9" t="s">
        <v>34</v>
      </c>
      <c r="P16" s="13">
        <v>4.7</v>
      </c>
      <c r="Q16" s="14" t="s">
        <v>92</v>
      </c>
      <c r="R16" s="15" t="s">
        <v>36</v>
      </c>
    </row>
    <row r="17" spans="1:18" ht="37.5" customHeight="1" x14ac:dyDescent="0.25">
      <c r="A17" s="16" t="s">
        <v>93</v>
      </c>
      <c r="B17" s="17" t="s">
        <v>94</v>
      </c>
      <c r="C17" s="17" t="s">
        <v>90</v>
      </c>
      <c r="D17" s="18">
        <v>45</v>
      </c>
      <c r="E17" s="18">
        <v>3</v>
      </c>
      <c r="F17" s="19">
        <f t="shared" si="0"/>
        <v>42</v>
      </c>
      <c r="G17" s="18">
        <v>10</v>
      </c>
      <c r="H17" s="16" t="str">
        <f t="shared" si="1"/>
        <v>🟢 OK</v>
      </c>
      <c r="I17" s="18">
        <f t="shared" si="2"/>
        <v>14</v>
      </c>
      <c r="J17" s="17" t="s">
        <v>91</v>
      </c>
      <c r="K17" s="17" t="s">
        <v>52</v>
      </c>
      <c r="L17" s="12" t="s">
        <v>32</v>
      </c>
      <c r="M17" s="12" t="s">
        <v>32</v>
      </c>
      <c r="N17" s="13" t="s">
        <v>33</v>
      </c>
      <c r="O17" s="17" t="s">
        <v>95</v>
      </c>
      <c r="P17" s="13">
        <v>4</v>
      </c>
      <c r="Q17" s="14" t="s">
        <v>96</v>
      </c>
      <c r="R17" s="27" t="s">
        <v>36</v>
      </c>
    </row>
    <row r="18" spans="1:18" ht="37.5" customHeight="1" x14ac:dyDescent="0.25">
      <c r="A18" s="8" t="s">
        <v>97</v>
      </c>
      <c r="B18" s="9" t="s">
        <v>98</v>
      </c>
      <c r="C18" s="9" t="s">
        <v>99</v>
      </c>
      <c r="D18" s="10">
        <v>67</v>
      </c>
      <c r="E18" s="10">
        <v>8</v>
      </c>
      <c r="F18" s="11">
        <f t="shared" si="0"/>
        <v>59</v>
      </c>
      <c r="G18" s="10">
        <v>15</v>
      </c>
      <c r="H18" s="8" t="str">
        <f t="shared" si="1"/>
        <v>🟢 OK</v>
      </c>
      <c r="I18" s="10">
        <f t="shared" si="2"/>
        <v>7</v>
      </c>
      <c r="J18" s="9" t="s">
        <v>51</v>
      </c>
      <c r="K18" s="9" t="s">
        <v>45</v>
      </c>
      <c r="L18" s="12" t="s">
        <v>32</v>
      </c>
      <c r="M18" s="12" t="s">
        <v>32</v>
      </c>
      <c r="N18" s="13" t="s">
        <v>33</v>
      </c>
      <c r="O18" s="9" t="s">
        <v>77</v>
      </c>
      <c r="P18" s="20">
        <v>3.6</v>
      </c>
      <c r="Q18" s="9" t="s">
        <v>100</v>
      </c>
      <c r="R18" s="21" t="s">
        <v>54</v>
      </c>
    </row>
    <row r="19" spans="1:18" ht="37.5" customHeight="1" x14ac:dyDescent="0.25">
      <c r="A19" s="16" t="s">
        <v>101</v>
      </c>
      <c r="B19" s="17" t="s">
        <v>102</v>
      </c>
      <c r="C19" s="17" t="s">
        <v>99</v>
      </c>
      <c r="D19" s="18">
        <v>38</v>
      </c>
      <c r="E19" s="18">
        <v>6</v>
      </c>
      <c r="F19" s="19">
        <f t="shared" si="0"/>
        <v>32</v>
      </c>
      <c r="G19" s="18">
        <v>10</v>
      </c>
      <c r="H19" s="16" t="str">
        <f t="shared" si="1"/>
        <v>🟢 OK</v>
      </c>
      <c r="I19" s="18">
        <f t="shared" si="2"/>
        <v>5</v>
      </c>
      <c r="J19" s="17" t="s">
        <v>51</v>
      </c>
      <c r="K19" s="17" t="s">
        <v>31</v>
      </c>
      <c r="L19" s="12" t="s">
        <v>32</v>
      </c>
      <c r="M19" s="12" t="s">
        <v>32</v>
      </c>
      <c r="N19" s="13" t="s">
        <v>33</v>
      </c>
      <c r="O19" s="17" t="s">
        <v>71</v>
      </c>
      <c r="P19" s="20">
        <v>3.3</v>
      </c>
      <c r="Q19" s="17" t="s">
        <v>103</v>
      </c>
      <c r="R19" s="21" t="s">
        <v>104</v>
      </c>
    </row>
    <row r="20" spans="1:18" ht="37.5" customHeight="1" x14ac:dyDescent="0.25">
      <c r="A20" s="8" t="s">
        <v>105</v>
      </c>
      <c r="B20" s="9" t="s">
        <v>106</v>
      </c>
      <c r="C20" s="9" t="s">
        <v>107</v>
      </c>
      <c r="D20" s="10">
        <v>0</v>
      </c>
      <c r="E20" s="10">
        <v>0</v>
      </c>
      <c r="F20" s="11">
        <f t="shared" si="0"/>
        <v>0</v>
      </c>
      <c r="G20" s="10">
        <v>5</v>
      </c>
      <c r="H20" s="8" t="str">
        <f>IF(F20=0,"🔴 OUT OF STOCK",IF(F20&lt;=G20,"🔴 REORDER NOW",IF(F20&lt;=2*G20,"🟡 LOW STOCK","🟢 OK")))</f>
        <v>🔴 OUT OF STOCK</v>
      </c>
      <c r="I20" s="10" t="str">
        <f t="shared" si="2"/>
        <v>N/A</v>
      </c>
      <c r="J20" s="9" t="s">
        <v>108</v>
      </c>
      <c r="K20" s="9" t="s">
        <v>36</v>
      </c>
      <c r="L20" s="22" t="s">
        <v>70</v>
      </c>
      <c r="M20" s="22" t="s">
        <v>70</v>
      </c>
      <c r="N20" s="25" t="s">
        <v>65</v>
      </c>
      <c r="O20" s="9" t="s">
        <v>36</v>
      </c>
      <c r="P20" s="25">
        <v>0</v>
      </c>
      <c r="Q20" s="26" t="s">
        <v>109</v>
      </c>
      <c r="R20" s="21" t="s">
        <v>104</v>
      </c>
    </row>
    <row r="21" spans="1:18" ht="37.5" customHeight="1" x14ac:dyDescent="0.25">
      <c r="A21" s="16" t="s">
        <v>110</v>
      </c>
      <c r="B21" s="17" t="s">
        <v>111</v>
      </c>
      <c r="C21" s="17" t="s">
        <v>107</v>
      </c>
      <c r="D21" s="18">
        <v>28</v>
      </c>
      <c r="E21" s="18">
        <v>5</v>
      </c>
      <c r="F21" s="19">
        <f t="shared" si="0"/>
        <v>23</v>
      </c>
      <c r="G21" s="18">
        <v>8</v>
      </c>
      <c r="H21" s="16" t="str">
        <f t="shared" si="1"/>
        <v>🟢 OK</v>
      </c>
      <c r="I21" s="18">
        <f t="shared" si="2"/>
        <v>5</v>
      </c>
      <c r="J21" s="17" t="s">
        <v>112</v>
      </c>
      <c r="K21" s="17" t="s">
        <v>47</v>
      </c>
      <c r="L21" s="12" t="s">
        <v>113</v>
      </c>
      <c r="M21" s="22" t="s">
        <v>70</v>
      </c>
      <c r="N21" s="13" t="s">
        <v>33</v>
      </c>
      <c r="O21" s="17" t="s">
        <v>82</v>
      </c>
      <c r="P21" s="13">
        <v>4.4000000000000004</v>
      </c>
      <c r="Q21" s="17" t="s">
        <v>114</v>
      </c>
      <c r="R21" s="21" t="s">
        <v>115</v>
      </c>
    </row>
    <row r="22" spans="1:18" ht="37.5" customHeight="1" x14ac:dyDescent="0.25">
      <c r="A22" s="8" t="s">
        <v>116</v>
      </c>
      <c r="B22" s="9" t="s">
        <v>117</v>
      </c>
      <c r="C22" s="9" t="s">
        <v>107</v>
      </c>
      <c r="D22" s="10">
        <v>20</v>
      </c>
      <c r="E22" s="10">
        <v>10</v>
      </c>
      <c r="F22" s="11">
        <f>D22-E22</f>
        <v>10</v>
      </c>
      <c r="G22" s="10">
        <v>5</v>
      </c>
      <c r="H22" s="8" t="str">
        <f>IF(F22=0," OUT OF STOCK",IF(F22&lt;=G22," REORDER NOW",IF(F22&lt;=2*G22," LOW STOCK"," OK")))</f>
        <v xml:space="preserve"> LOW STOCK</v>
      </c>
      <c r="I22" s="10">
        <v>1</v>
      </c>
      <c r="J22" s="9" t="s">
        <v>118</v>
      </c>
      <c r="K22" s="9" t="s">
        <v>119</v>
      </c>
      <c r="L22" s="12" t="s">
        <v>32</v>
      </c>
      <c r="M22" s="12" t="s">
        <v>32</v>
      </c>
      <c r="N22" s="13" t="s">
        <v>33</v>
      </c>
      <c r="O22" s="9" t="s">
        <v>86</v>
      </c>
      <c r="P22" s="13">
        <v>4.5999999999999996</v>
      </c>
      <c r="Q22" s="23" t="s">
        <v>120</v>
      </c>
      <c r="R22" s="21" t="s">
        <v>54</v>
      </c>
    </row>
    <row r="24" spans="1:18" ht="21.75" customHeight="1" x14ac:dyDescent="0.25">
      <c r="A24" s="48" t="s">
        <v>164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</row>
    <row r="25" spans="1:18" ht="15.75" x14ac:dyDescent="0.25">
      <c r="A25" s="28" t="s">
        <v>121</v>
      </c>
      <c r="B25" s="29">
        <f>COUNTA(A6:A22)</f>
        <v>17</v>
      </c>
      <c r="C25" s="30" t="s">
        <v>161</v>
      </c>
      <c r="D25" s="29">
        <f>COUNTIF(H6:H22,"🟢 OK")</f>
        <v>11</v>
      </c>
      <c r="E25" s="31" t="s">
        <v>162</v>
      </c>
      <c r="F25" s="29">
        <f>COUNTIF(H6:H22,"🟡 LOW STOCK")</f>
        <v>3</v>
      </c>
      <c r="G25" s="32" t="s">
        <v>163</v>
      </c>
      <c r="H25" s="29">
        <f>COUNTIF(H6:H22,"🔴 REORDER NOW")</f>
        <v>1</v>
      </c>
    </row>
    <row r="26" spans="1:18" ht="15.75" x14ac:dyDescent="0.25">
      <c r="A26" s="32" t="s">
        <v>122</v>
      </c>
      <c r="B26" s="29">
        <f>COUNTIF(H6:H22,"🔴 OUT OF STOCK")</f>
        <v>1</v>
      </c>
      <c r="C26" s="33" t="s">
        <v>123</v>
      </c>
      <c r="D26" s="29">
        <f>SUM(E6:E22)</f>
        <v>134</v>
      </c>
      <c r="E26" s="34" t="s">
        <v>124</v>
      </c>
      <c r="F26" s="29">
        <f>COUNTIF(N6:N22,"N")</f>
        <v>2</v>
      </c>
      <c r="G26" s="35" t="s">
        <v>125</v>
      </c>
      <c r="H26" s="29">
        <f>ROUND(AVERAGEIF(P6:P22,"&gt;0",P6:P22),1)</f>
        <v>3.9</v>
      </c>
    </row>
  </sheetData>
  <mergeCells count="11">
    <mergeCell ref="A24:R24"/>
    <mergeCell ref="A1:R1"/>
    <mergeCell ref="A2:R2"/>
    <mergeCell ref="A3:R3"/>
    <mergeCell ref="A4:C4"/>
    <mergeCell ref="D4:F4"/>
    <mergeCell ref="G4:I4"/>
    <mergeCell ref="J4:K4"/>
    <mergeCell ref="L4:M4"/>
    <mergeCell ref="N4:P4"/>
    <mergeCell ref="Q4:R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showGridLines="0" zoomScaleNormal="100" workbookViewId="0">
      <pane ySplit="4" topLeftCell="A5" activePane="bottomLeft" state="frozen"/>
      <selection pane="bottomLeft" activeCell="D9" sqref="D9"/>
    </sheetView>
  </sheetViews>
  <sheetFormatPr defaultColWidth="8.7109375" defaultRowHeight="15" x14ac:dyDescent="0.25"/>
  <cols>
    <col min="1" max="1" width="27.140625" bestFit="1" customWidth="1"/>
    <col min="2" max="2" width="27.5703125" bestFit="1" customWidth="1"/>
    <col min="3" max="3" width="7.7109375" bestFit="1" customWidth="1"/>
    <col min="4" max="4" width="22" customWidth="1"/>
    <col min="5" max="5" width="15.85546875" bestFit="1" customWidth="1"/>
    <col min="6" max="8" width="11" bestFit="1" customWidth="1"/>
    <col min="9" max="9" width="5.7109375" bestFit="1" customWidth="1"/>
    <col min="10" max="10" width="8" bestFit="1" customWidth="1"/>
    <col min="11" max="11" width="7.5703125" bestFit="1" customWidth="1"/>
    <col min="12" max="12" width="33.42578125" bestFit="1" customWidth="1"/>
  </cols>
  <sheetData>
    <row r="1" spans="1:12" ht="30" customHeight="1" x14ac:dyDescent="0.25">
      <c r="A1" s="59" t="s">
        <v>126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1:12" ht="13.5" customHeight="1" x14ac:dyDescent="0.25">
      <c r="A2" s="50" t="s">
        <v>127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1:12" ht="13.5" customHeight="1" x14ac:dyDescent="0.25">
      <c r="A3" s="60" t="s">
        <v>128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</row>
    <row r="4" spans="1:12" ht="36" customHeight="1" x14ac:dyDescent="0.25">
      <c r="A4" s="36" t="s">
        <v>9</v>
      </c>
      <c r="B4" s="36" t="s">
        <v>10</v>
      </c>
      <c r="C4" s="36" t="s">
        <v>129</v>
      </c>
      <c r="D4" s="36" t="s">
        <v>130</v>
      </c>
      <c r="E4" s="36" t="s">
        <v>131</v>
      </c>
      <c r="F4" s="36" t="s">
        <v>132</v>
      </c>
      <c r="G4" s="36" t="s">
        <v>133</v>
      </c>
      <c r="H4" s="36" t="s">
        <v>134</v>
      </c>
      <c r="I4" s="36" t="s">
        <v>135</v>
      </c>
      <c r="J4" s="36" t="s">
        <v>136</v>
      </c>
      <c r="K4" s="36" t="s">
        <v>137</v>
      </c>
      <c r="L4" s="36" t="s">
        <v>138</v>
      </c>
    </row>
    <row r="5" spans="1:12" ht="39.75" customHeight="1" x14ac:dyDescent="0.25">
      <c r="A5" s="17" t="s">
        <v>61</v>
      </c>
      <c r="B5" s="17" t="s">
        <v>62</v>
      </c>
      <c r="C5" s="18">
        <v>50</v>
      </c>
      <c r="D5" s="17" t="s">
        <v>58</v>
      </c>
      <c r="E5" s="17" t="s">
        <v>139</v>
      </c>
      <c r="F5" s="37" t="s">
        <v>40</v>
      </c>
      <c r="G5" s="37" t="s">
        <v>140</v>
      </c>
      <c r="H5" s="37" t="s">
        <v>36</v>
      </c>
      <c r="I5" s="38">
        <v>3</v>
      </c>
      <c r="J5" s="18">
        <v>280</v>
      </c>
      <c r="K5" s="39">
        <f t="shared" ref="K5:K10" si="0">C5*J5</f>
        <v>14000</v>
      </c>
      <c r="L5" s="26" t="s">
        <v>141</v>
      </c>
    </row>
    <row r="6" spans="1:12" ht="39.75" customHeight="1" x14ac:dyDescent="0.25">
      <c r="A6" s="9" t="s">
        <v>49</v>
      </c>
      <c r="B6" s="9" t="s">
        <v>50</v>
      </c>
      <c r="C6" s="10">
        <v>100</v>
      </c>
      <c r="D6" s="9" t="s">
        <v>51</v>
      </c>
      <c r="E6" s="9" t="s">
        <v>142</v>
      </c>
      <c r="F6" s="40" t="s">
        <v>34</v>
      </c>
      <c r="G6" s="40" t="s">
        <v>143</v>
      </c>
      <c r="H6" s="40" t="s">
        <v>36</v>
      </c>
      <c r="I6" s="41">
        <v>2</v>
      </c>
      <c r="J6" s="10">
        <v>52</v>
      </c>
      <c r="K6" s="39">
        <f t="shared" si="0"/>
        <v>5200</v>
      </c>
      <c r="L6" s="9" t="s">
        <v>144</v>
      </c>
    </row>
    <row r="7" spans="1:12" ht="39.75" customHeight="1" x14ac:dyDescent="0.25">
      <c r="A7" s="17" t="s">
        <v>84</v>
      </c>
      <c r="B7" s="17" t="s">
        <v>85</v>
      </c>
      <c r="C7" s="18">
        <v>40</v>
      </c>
      <c r="D7" s="17" t="s">
        <v>76</v>
      </c>
      <c r="E7" s="17" t="s">
        <v>145</v>
      </c>
      <c r="F7" s="37" t="s">
        <v>146</v>
      </c>
      <c r="G7" s="37" t="s">
        <v>147</v>
      </c>
      <c r="H7" s="37" t="s">
        <v>36</v>
      </c>
      <c r="I7" s="42">
        <v>1</v>
      </c>
      <c r="J7" s="18">
        <v>180</v>
      </c>
      <c r="K7" s="39">
        <f t="shared" si="0"/>
        <v>7200</v>
      </c>
      <c r="L7" s="17" t="s">
        <v>148</v>
      </c>
    </row>
    <row r="8" spans="1:12" ht="39.75" customHeight="1" x14ac:dyDescent="0.25">
      <c r="A8" s="9" t="s">
        <v>116</v>
      </c>
      <c r="B8" s="9" t="s">
        <v>117</v>
      </c>
      <c r="C8" s="10">
        <v>25</v>
      </c>
      <c r="D8" s="9" t="s">
        <v>118</v>
      </c>
      <c r="E8" s="9" t="s">
        <v>149</v>
      </c>
      <c r="F8" s="40" t="s">
        <v>34</v>
      </c>
      <c r="G8" s="40" t="s">
        <v>150</v>
      </c>
      <c r="H8" s="40" t="s">
        <v>36</v>
      </c>
      <c r="I8" s="42">
        <v>1</v>
      </c>
      <c r="J8" s="10">
        <v>560</v>
      </c>
      <c r="K8" s="39">
        <f t="shared" si="0"/>
        <v>14000</v>
      </c>
      <c r="L8" s="9" t="s">
        <v>151</v>
      </c>
    </row>
    <row r="9" spans="1:12" ht="39.75" customHeight="1" x14ac:dyDescent="0.25">
      <c r="A9" s="17" t="s">
        <v>97</v>
      </c>
      <c r="B9" s="17" t="s">
        <v>152</v>
      </c>
      <c r="C9" s="18">
        <v>30</v>
      </c>
      <c r="D9" s="17" t="s">
        <v>51</v>
      </c>
      <c r="E9" s="17" t="s">
        <v>142</v>
      </c>
      <c r="F9" s="37" t="s">
        <v>153</v>
      </c>
      <c r="G9" s="37" t="s">
        <v>154</v>
      </c>
      <c r="H9" s="37" t="s">
        <v>36</v>
      </c>
      <c r="I9" s="42">
        <v>1</v>
      </c>
      <c r="J9" s="18">
        <v>268</v>
      </c>
      <c r="K9" s="39">
        <f t="shared" si="0"/>
        <v>8040</v>
      </c>
      <c r="L9" s="17" t="s">
        <v>155</v>
      </c>
    </row>
    <row r="10" spans="1:12" ht="39.75" customHeight="1" x14ac:dyDescent="0.25">
      <c r="A10" s="9" t="s">
        <v>27</v>
      </c>
      <c r="B10" s="9" t="s">
        <v>28</v>
      </c>
      <c r="C10" s="10">
        <v>200</v>
      </c>
      <c r="D10" s="9" t="s">
        <v>30</v>
      </c>
      <c r="E10" s="9" t="s">
        <v>156</v>
      </c>
      <c r="F10" s="40" t="s">
        <v>47</v>
      </c>
      <c r="G10" s="40" t="s">
        <v>34</v>
      </c>
      <c r="H10" s="40" t="s">
        <v>34</v>
      </c>
      <c r="I10" s="43">
        <v>5</v>
      </c>
      <c r="J10" s="10">
        <v>118</v>
      </c>
      <c r="K10" s="39">
        <f t="shared" si="0"/>
        <v>23600</v>
      </c>
      <c r="L10" s="14" t="s">
        <v>157</v>
      </c>
    </row>
    <row r="12" spans="1:12" ht="19.5" customHeight="1" x14ac:dyDescent="0.25">
      <c r="A12" s="61" t="s">
        <v>158</v>
      </c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</row>
    <row r="13" spans="1:12" x14ac:dyDescent="0.25">
      <c r="A13" s="44" t="s">
        <v>159</v>
      </c>
      <c r="B13" s="45">
        <f>COUNTIF(I5:I10,"&lt;5")</f>
        <v>5</v>
      </c>
    </row>
    <row r="14" spans="1:12" x14ac:dyDescent="0.25">
      <c r="A14" s="46" t="s">
        <v>160</v>
      </c>
      <c r="B14" s="47">
        <f>SUMIF(I5:I10,"&lt;5",K5:K10)</f>
        <v>48440</v>
      </c>
    </row>
  </sheetData>
  <mergeCells count="4">
    <mergeCell ref="A1:L1"/>
    <mergeCell ref="A2:L2"/>
    <mergeCell ref="A3:L3"/>
    <mergeCell ref="A12:L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Stock MIS</vt:lpstr>
      <vt:lpstr>Reorder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chandraarjun845@gmail.com</cp:lastModifiedBy>
  <cp:revision>0</cp:revision>
  <dcterms:created xsi:type="dcterms:W3CDTF">2026-06-12T07:42:30Z</dcterms:created>
  <dcterms:modified xsi:type="dcterms:W3CDTF">2026-06-13T07:23:56Z</dcterms:modified>
  <dc:language>en-US</dc:language>
</cp:coreProperties>
</file>