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D 5\Desktop\"/>
    </mc:Choice>
  </mc:AlternateContent>
  <xr:revisionPtr revIDLastSave="0" documentId="13_ncr:1_{175D2549-B90C-447E-86B7-128B1836EDE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mpetitor Listing Audit" sheetId="1" r:id="rId1"/>
    <sheet name="Improvement Action Track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</calcChain>
</file>

<file path=xl/sharedStrings.xml><?xml version="1.0" encoding="utf-8"?>
<sst xmlns="http://schemas.openxmlformats.org/spreadsheetml/2006/main" count="239" uniqueCount="176">
  <si>
    <t>🔍  VCM GIFTS — AMAZON COMPETITOR LISTING AUDIT</t>
  </si>
  <si>
    <t>Audit Date: 12 Jun 2026  |  Platform: Amazon.in  |  Category: Devotional / Spiritual Products  |  Prepared by: [Your Name]  |  Purpose: Identify gaps &amp; optimisation opportunities for VCM listings</t>
  </si>
  <si>
    <t>PRODUCT IDENTIFICATION</t>
  </si>
  <si>
    <t>LISTING QUALITY PARAMETERS</t>
  </si>
  <si>
    <t>PERFORMANCE METRICS</t>
  </si>
  <si>
    <t>CUSTOMER SIGNALS</t>
  </si>
  <si>
    <t>VCM OPPORTUNITY ANALYSIS</t>
  </si>
  <si>
    <t>S.No.</t>
  </si>
  <si>
    <t>Competitor / Seller Name</t>
  </si>
  <si>
    <t>Product Name</t>
  </si>
  <si>
    <t>ASIN / URL</t>
  </si>
  <si>
    <t>Title
Length
(chars)</t>
  </si>
  <si>
    <t>Keywords in
Title (Y/N)</t>
  </si>
  <si>
    <t>No. of
Images</t>
  </si>
  <si>
    <t>Bullet
Points
(count)</t>
  </si>
  <si>
    <t>Description
Present?
(Y/N)</t>
  </si>
  <si>
    <t>A+ Content /
EBC Present?</t>
  </si>
  <si>
    <t>MRP (₹)</t>
  </si>
  <si>
    <t>Rating
(out of 5)</t>
  </si>
  <si>
    <t>No. of
Reviews</t>
  </si>
  <si>
    <t>Top Positive
Feedback Theme</t>
  </si>
  <si>
    <t>Top Negative
Feedback Theme</t>
  </si>
  <si>
    <t>Common
Complaints</t>
  </si>
  <si>
    <t>Gap Identified
for VCM</t>
  </si>
  <si>
    <t>Recommended
Improvement</t>
  </si>
  <si>
    <t>Priority
(H/M/L)</t>
  </si>
  <si>
    <t>🟢 Images ≥ 6 = GOOD     🟡 Images 3–5 = AVERAGE     🔴 Images &lt; 3 = POOR   |   Rating ≥ 4.2 = GOOD     3.8–4.1 = AVERAGE     &lt; 3.8 = POOR   |   Priority: H = Do This Week   M = This Month   L = Future</t>
  </si>
  <si>
    <t>ISKCON VRINDAVAN
(Official Seller)</t>
  </si>
  <si>
    <t>Original Tulsi Kanthi Mala from Vrindavan Dham
2R – Simple Mala (Pure Tulsi)</t>
  </si>
  <si>
    <t>B0C2V53LH1</t>
  </si>
  <si>
    <t>Yes</t>
  </si>
  <si>
    <t>No</t>
  </si>
  <si>
    <t>Authentic Vrindavan source;
Value for money</t>
  </si>
  <si>
    <t>Beads break off easily;
String quality poor</t>
  </si>
  <si>
    <t>Durability: 3 of 4 reviews mention bead breakage</t>
  </si>
  <si>
    <t>VCM can win on durability — specify thread material (nylon/silk) + bead finishing in listing</t>
  </si>
  <si>
    <t>Offer bead breakage guarantee or replacement policy as USP in bullet points</t>
  </si>
  <si>
    <t>H</t>
  </si>
  <si>
    <t>ARKAM
(3rd party)</t>
  </si>
  <si>
    <t>Tulsi Kanthi Mala Certified / Natural Tulsi
2 Round Mala – 3mm, 32 inch – Set of 2</t>
  </si>
  <si>
    <t>B07XXXARKAM</t>
  </si>
  <si>
    <t>Good quality, well-packed; 'Certified' builds trust</t>
  </si>
  <si>
    <t>Size smaller than expected</t>
  </si>
  <si>
    <t>1 review: bead size misleading</t>
  </si>
  <si>
    <t>VCM has authentic Vrindavan origin — compete on provenance not just 'certified'</t>
  </si>
  <si>
    <t>Add bead size comparison image (hand-held photo with ruler). Clearly state Vrindavan-made.</t>
  </si>
  <si>
    <t>BHAKTI SHRINGAR
(3rd party)</t>
  </si>
  <si>
    <t>Pure Tulsi Japa Mala 108 + 1 Beads
Handmade 8mm Beads – Unisex</t>
  </si>
  <si>
    <t>B09BHAKTI01</t>
  </si>
  <si>
    <t>Partial</t>
  </si>
  <si>
    <t>Good price point</t>
  </si>
  <si>
    <t>Description generic; no origin mention;
No lifestyle image</t>
  </si>
  <si>
    <t>No mention of Vrindavan; 3 images only (white BG only, no in-use)</t>
  </si>
  <si>
    <t>This seller has weak content — VCM can capture this segment with better images + Vrindavan origin story</t>
  </si>
  <si>
    <t>Add 1 lifestyle image of mala being used in japa + 1 close-up bead texture image. Add 'Made in Vrindavan' to title.</t>
  </si>
  <si>
    <t>Vrindavan Shopi
(3rd party)</t>
  </si>
  <si>
    <t>Original Tulsi Mala from Vrindavan –
Japa Mala 108 Beads 10mm Shyama Tulsi</t>
  </si>
  <si>
    <t>B0VRSHOPI01</t>
  </si>
  <si>
    <t>Shyama variant is rare — appreciated</t>
  </si>
  <si>
    <t>No bullet on bead size in title; packaging fragile per review</t>
  </si>
  <si>
    <t>Packaging complaint in 2 reviews; no mention of gomukhi bag</t>
  </si>
  <si>
    <t>VCM should bundle Shyama Mala + Gomukhi bag as combo — no competitor does this</t>
  </si>
  <si>
    <t>Create bundle ASIN: Shyama Mala + Gomukhi Bag. Price at ₹449. Mention fragrance of Shyama Tulsi in description.</t>
  </si>
  <si>
    <t>M</t>
  </si>
  <si>
    <t>NOBILITY
(Top Seller)</t>
  </si>
  <si>
    <t>Brass Radha Krishna Idol 4 Inch
Handcrafted Antique Finish – Home Temple Gift</t>
  </si>
  <si>
    <t>B0NOBILIT01</t>
  </si>
  <si>
    <t>Packaging quality praised; gifting context works well;
Gold finish photos are attractive</t>
  </si>
  <si>
    <t>One review: slightly smaller than expected; weight less than described</t>
  </si>
  <si>
    <t>Size expectation mismatch — description says 4 inch but perceived smaller; no size comparison image</t>
  </si>
  <si>
    <t>VCM must add a size-comparison image (ruler next to idol OR hand-held photo). Eliminates #1 return reason.</t>
  </si>
  <si>
    <t>Add: 1 image with ruler / hand. State exact dimensions in cm AND inches in bullet 1. Mention weight in grams.</t>
  </si>
  <si>
    <t>Radhika Poojan Bhandar
(3rd party)</t>
  </si>
  <si>
    <t>Ashtadhatu-Brass Radha Krishna Idol 4 Inch
Sand-Cast Handmade Authentic</t>
  </si>
  <si>
    <t>B08QFXC35D</t>
  </si>
  <si>
    <t>Sand-cast technique mentioned — niche appeal</t>
  </si>
  <si>
    <t>Low reviews (312); no gifting context; no packaging image</t>
  </si>
  <si>
    <t>No gift-angle in title or bullets; no mention of VCM / temple source</t>
  </si>
  <si>
    <t>VCM idol from actual ISKCON-affiliated temple = massive trust advantage. Use it explicitly.</t>
  </si>
  <si>
    <t>Title addition: 'VCM Temple Collection | ISKCON Affiliated | Authentic Vrindavan Craftsmanship'. Add gift box image.</t>
  </si>
  <si>
    <t>BENGALEN
(Top Seller)</t>
  </si>
  <si>
    <t>Brass Pooja Thali Set 8 Inch – 7 Piece
Kalash + Diya + Bell + Agarbatti Stand + Bowl</t>
  </si>
  <si>
    <t>B0BENGALE01</t>
  </si>
  <si>
    <t>Piece-count clearly in title works well;
Gift box image drives conversions</t>
  </si>
  <si>
    <t>Bell quality complaints in 5 reviews; tarnishes fast</t>
  </si>
  <si>
    <t>Tarnishing after 2–3 weeks is the #1 complaint across this category</t>
  </si>
  <si>
    <t>VCM opportunity: promise 'anti-tarnish coating' or 'lacquer-finished' — nobody in top 5 mentions this</t>
  </si>
  <si>
    <t>Add 'anti-tarnish' / 'lacquer-coated' to bullet 2 if applicable. If not, add care instruction image — builds trust.</t>
  </si>
  <si>
    <t>INDIAN ART VILLA
(3rd party)</t>
  </si>
  <si>
    <t>Pure Brass Pooja Thali Set Om Design Gold Finish
9.4 inch Diameter</t>
  </si>
  <si>
    <t>B0IAVILLA01</t>
  </si>
  <si>
    <t>Om design appreciated</t>
  </si>
  <si>
    <t>Only 14 reviews — low visibility;
3 bullet points only; no gifting angle;
4 images (no lifestyle)</t>
  </si>
  <si>
    <t>Under-optimised listing — weak in images, bullets, review count, A+ content</t>
  </si>
  <si>
    <t>VCM can directly beat this with better listing quality on comparable product</t>
  </si>
  <si>
    <t>Minimum 6 images. Add gifting angle in title ('Ideal Diwali / Housewarming Gift'). 5 bullets mandatory. A+ content if possible.</t>
  </si>
  <si>
    <t>📋  KEY FINDINGS SUMMARY</t>
  </si>
  <si>
    <t>🔴  TOP CRITICAL GAPS FOUND</t>
  </si>
  <si>
    <t>1) Durability complaints on Tulsi Malas — string &amp; bead quality not mentioned by any seller
2) Size mismatch complaints on Brass Idols — NO seller adds size-comparison image
3) Tarnishing complaints on Puja Thali — zero sellers address this proactively
4) Only 2 of 8 listings have A+ content (EBC) — VCM can stand out easily here</t>
  </si>
  <si>
    <t>🟡  LISTING QUALITY GAPS</t>
  </si>
  <si>
    <t>• 3 listings have &lt; 5 images — Amazon recommends 6–7; VCM should target 7 images per SKU
• 2 listings have only 3 bullet points — Amazon allows 5; every unused bullet = missed keyword
• Most sellers don't mention 'Vrindavan-made' or temple origin — VCM's single biggest differentiator</t>
  </si>
  <si>
    <t>🟢  VCM'S KEY ADVANTAGES TO USE</t>
  </si>
  <si>
    <t>1) ISKCON / Temple affiliation — authentic provenance; no competitor can claim this
2) Products sourced from Vrindavan itself — mention in title, bullets, and A+ banner
3) Can create bundles no competitor offers (e.g. Shyama Mala + Gomukhi bag)
4) Opportunity to be first in category with anti-tarnish / durability USP</t>
  </si>
  <si>
    <t>✅  VCM GIFTS — LISTING IMPROVEMENT ACTION TRACKER</t>
  </si>
  <si>
    <t>Purpose: Turn audit findings into concrete actions with owner and deadline  |  Created: 12 Jun 2026</t>
  </si>
  <si>
    <t>Status options:  🔴 Not Started  |  🟡 In Progress  |  🟢 Done  |  ⏸ On Hold</t>
  </si>
  <si>
    <t>#</t>
  </si>
  <si>
    <t>SKU / Product</t>
  </si>
  <si>
    <t>Platform</t>
  </si>
  <si>
    <t>Action Required</t>
  </si>
  <si>
    <t>Root Cause
(From Audit)</t>
  </si>
  <si>
    <t>Owner</t>
  </si>
  <si>
    <t>Deadline</t>
  </si>
  <si>
    <t>Effort
(H/M/L)</t>
  </si>
  <si>
    <t>Status</t>
  </si>
  <si>
    <t>Result / Notes</t>
  </si>
  <si>
    <t>VCM-MAL-001
Tulsi Japa Mala</t>
  </si>
  <si>
    <t>Amazon</t>
  </si>
  <si>
    <t>Add bead size comparison image
(hand-held + ruler photo)</t>
  </si>
  <si>
    <t>Competitor audit: size mismatch is #1 return reason in this subcategory</t>
  </si>
  <si>
    <t>Photographer</t>
  </si>
  <si>
    <t>15-Jun-2026</t>
  </si>
  <si>
    <t>🔴 Not Started</t>
  </si>
  <si>
    <t>Image brief: hold mala in palm + 15cm ruler visible in frame</t>
  </si>
  <si>
    <t>Add 'strong thread / won't break' durability claim to bullet 3
+ thread spec (nylon / silk)</t>
  </si>
  <si>
    <t>2 out of 3 competitor reviews mention bead breakage — no seller addresses it proactively</t>
  </si>
  <si>
    <t>Catalogue Exec</t>
  </si>
  <si>
    <t>12-Jun-2026</t>
  </si>
  <si>
    <t>L</t>
  </si>
  <si>
    <t>🟡 In Progress</t>
  </si>
  <si>
    <t>Verify with supplier what thread material is used. Update bullet only if factually correct.</t>
  </si>
  <si>
    <t>VCM-MAL-003
Silver-Capped Mala</t>
  </si>
  <si>
    <t>Amazon / Flipkart</t>
  </si>
  <si>
    <t>Add 'Vrindavan Made' + ISKCON affiliation to title and bullet 1</t>
  </si>
  <si>
    <t>Competitor ARKAM uses 'Certified' — VCM has authentic temple origin which is stronger</t>
  </si>
  <si>
    <t>Current title missing origin. Proposed addition: '| Original Vrindavan | ISKCON Affiliated'</t>
  </si>
  <si>
    <t>VCM-MAL-004 + VCM-MAL-001
Mala + Bag Bundle</t>
  </si>
  <si>
    <t>Create new bundle ASIN:
Shyama Tulsi Mala + Gomukhi Japa Bag</t>
  </si>
  <si>
    <t>No competitor offers this bundle — gap identified in audit</t>
  </si>
  <si>
    <t>Catalogue Exec + Supply</t>
  </si>
  <si>
    <t>20-Jun-2026</t>
  </si>
  <si>
    <t>Price at ₹449 (Mala ₹349 + Bag ₹149 individually). Save ₹49 messaging.</t>
  </si>
  <si>
    <t>VCM-IDL-001
Brass Radha Krishna Idol</t>
  </si>
  <si>
    <t>Add size-comparison photo
(idol held in hand OR next to 15cm ruler)</t>
  </si>
  <si>
    <t>NOBILITY (2870 reviews) has size expectation complaints in top 5 reviews</t>
  </si>
  <si>
    <t>Brief: idol on white bg with ruler. Also add: H/W/D in cm AND inches in bullet 1.</t>
  </si>
  <si>
    <t>Add ISKCON temple context to listing description
+ gift-occasion keywords</t>
  </si>
  <si>
    <t>Radhika Poojan Bhandar (competitor) has no temple affiliation — VCM has a clear trust edge</t>
  </si>
  <si>
    <t>13-Jun-2026</t>
  </si>
  <si>
    <t>Add to description para 1: 'Crafted for Vrindavan Chandrodaya Mandir, an ISKCON-affiliated project...'</t>
  </si>
  <si>
    <t>VCM-PUJ-001
Brass Puja Thali Set</t>
  </si>
  <si>
    <t>Add anti-tarnish / lacquer-coating detail to bullet 2
(if applicable — verify first)</t>
  </si>
  <si>
    <t>Tarnishing after 2–3 weeks is #1 complaint across entire Puja Thali subcategory</t>
  </si>
  <si>
    <t>Catalogue Exec + Supplier</t>
  </si>
  <si>
    <t>18-Jun-2026</t>
  </si>
  <si>
    <t>First confirm with supplier if lacquer is applied. If yes — this is a major USP vs all top 5 sellers.</t>
  </si>
  <si>
    <t>Increase images from current 4 to minimum 6
(add: gift box image + care instructions image)</t>
  </si>
  <si>
    <t>BENGALEN (5640 reviews) has 7 images including gift box. VCM listing underperforms.</t>
  </si>
  <si>
    <t>Required shots: 1) Gift box closed 2) Gift box open 3) Care instruction infographic</t>
  </si>
  <si>
    <t>VCM-BKS-001
Bhagavad Gita</t>
  </si>
  <si>
    <t>Add ISBN, BBT publisher, edition year
to product details section</t>
  </si>
  <si>
    <t>Amazon compliance: books require ISBN. Also builds trust vs pirated/non-official editions.</t>
  </si>
  <si>
    <t>🟢 Done</t>
  </si>
  <si>
    <t>ISBN: 978-0-89213-268-9 (BBT English standard edition). Verified.</t>
  </si>
  <si>
    <t>ALL LISTINGS
(Priority: MAL + IDL)</t>
  </si>
  <si>
    <t>Set up A+ Content (EBC) for top 5 revenue SKUs</t>
  </si>
  <si>
    <t>Only 2 of 8 audited competitors use A+ content. VCM can leapfrog with brand story + Vrindavan images.</t>
  </si>
  <si>
    <t>Catalogue Exec + Designer</t>
  </si>
  <si>
    <t>30-Jun-2026</t>
  </si>
  <si>
    <t>Requires Amazon Brand Registry. Check if VCM brand is registered. If not, initiate registration first.</t>
  </si>
  <si>
    <t>📊  ACTION SUMMARY</t>
  </si>
  <si>
    <t>Total Actions</t>
  </si>
  <si>
    <t>Not Started 🔴</t>
  </si>
  <si>
    <t>In Progress 🟡</t>
  </si>
  <si>
    <t>Done 🟢</t>
  </si>
  <si>
    <t>High Effort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</si>
</sst>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2F2F2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i/>
      <sz val="8"/>
      <color rgb="FF767676"/>
      <name val="Arial"/>
      <charset val="1"/>
    </font>
    <font>
      <sz val="10"/>
      <color rgb="FF2F2F2F"/>
      <name val="Arial"/>
      <charset val="1"/>
    </font>
    <font>
      <sz val="10"/>
      <color rgb="FF7F6000"/>
      <name val="Arial"/>
      <charset val="1"/>
    </font>
    <font>
      <b/>
      <sz val="10"/>
      <color rgb="FF375623"/>
      <name val="Arial"/>
      <charset val="1"/>
    </font>
    <font>
      <sz val="9"/>
      <color rgb="FF2F2F2F"/>
      <name val="Arial"/>
      <charset val="1"/>
    </font>
    <font>
      <b/>
      <sz val="10"/>
      <color rgb="FFC00000"/>
      <name val="Arial"/>
      <charset val="1"/>
    </font>
    <font>
      <b/>
      <sz val="10"/>
      <color rgb="FF7F6000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767676"/>
      <name val="Arial"/>
      <charset val="1"/>
    </font>
    <font>
      <b/>
      <sz val="9"/>
      <color rgb="FF2C4A6E"/>
      <name val="Arial"/>
      <charset val="1"/>
    </font>
    <font>
      <b/>
      <sz val="10"/>
      <color rgb="FF2F2F2F"/>
      <name val="Arial"/>
      <charset val="1"/>
    </font>
    <font>
      <b/>
      <sz val="11"/>
      <color rgb="FF2F2F2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E65C00"/>
        <bgColor rgb="FFFF9900"/>
      </patternFill>
    </fill>
    <fill>
      <patternFill patternType="solid">
        <fgColor rgb="FFFFFACD"/>
        <bgColor rgb="FFFFFBF5"/>
      </patternFill>
    </fill>
    <fill>
      <patternFill patternType="solid">
        <fgColor rgb="FF1F2D3D"/>
        <bgColor rgb="FF2F2F2F"/>
      </patternFill>
    </fill>
    <fill>
      <patternFill patternType="solid">
        <fgColor rgb="FF2C4A6E"/>
        <bgColor rgb="FF375623"/>
      </patternFill>
    </fill>
    <fill>
      <patternFill patternType="solid">
        <fgColor rgb="FF4472C4"/>
        <bgColor rgb="FF666699"/>
      </patternFill>
    </fill>
    <fill>
      <patternFill patternType="solid">
        <fgColor rgb="FF833C00"/>
        <bgColor rgb="FF7F6000"/>
      </patternFill>
    </fill>
    <fill>
      <patternFill patternType="solid">
        <fgColor rgb="FF375623"/>
        <bgColor rgb="FF2C4A6E"/>
      </patternFill>
    </fill>
    <fill>
      <patternFill patternType="solid">
        <fgColor rgb="FFF2F2F2"/>
        <bgColor rgb="FFFFFBF5"/>
      </patternFill>
    </fill>
    <fill>
      <patternFill patternType="solid">
        <fgColor rgb="FFFFFBF5"/>
        <bgColor rgb="FFFFFFFF"/>
      </patternFill>
    </fill>
    <fill>
      <patternFill patternType="solid">
        <fgColor rgb="FFFFEB9C"/>
        <bgColor rgb="FFFFFACD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FFBF5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833C0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3" fillId="2" borderId="0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4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767676"/>
      <rgbColor rgb="FF9999FF"/>
      <rgbColor rgb="FF993366"/>
      <rgbColor rgb="FFFFFACD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F5"/>
      <rgbColor rgb="FFE2EFDA"/>
      <rgbColor rgb="FFFFEB9C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65C00"/>
      <rgbColor rgb="FF666699"/>
      <rgbColor rgb="FF969696"/>
      <rgbColor rgb="FF1F2D3D"/>
      <rgbColor rgb="FF339966"/>
      <rgbColor rgb="FF003300"/>
      <rgbColor rgb="FF375623"/>
      <rgbColor rgb="FF833C00"/>
      <rgbColor rgb="FF993366"/>
      <rgbColor rgb="FF2C4A6E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2" customWidth="1"/>
    <col min="3" max="3" width="32" customWidth="1"/>
    <col min="4" max="4" width="18" customWidth="1"/>
    <col min="5" max="5" width="9" customWidth="1"/>
    <col min="6" max="6" width="12" customWidth="1"/>
    <col min="7" max="7" width="8" customWidth="1"/>
    <col min="8" max="8" width="9" customWidth="1"/>
    <col min="9" max="9" width="10" customWidth="1"/>
    <col min="10" max="10" width="12" customWidth="1"/>
    <col min="11" max="11" width="10" customWidth="1"/>
    <col min="12" max="12" width="8" customWidth="1"/>
    <col min="13" max="13" width="10" customWidth="1"/>
    <col min="14" max="16" width="28" customWidth="1"/>
    <col min="17" max="17" width="30" customWidth="1"/>
    <col min="18" max="18" width="36" customWidth="1"/>
    <col min="19" max="19" width="10" customWidth="1"/>
  </cols>
  <sheetData>
    <row r="1" spans="1:19" ht="33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5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8" customHeight="1" x14ac:dyDescent="0.25">
      <c r="A3" s="12" t="s">
        <v>2</v>
      </c>
      <c r="B3" s="12"/>
      <c r="C3" s="12"/>
      <c r="D3" s="12"/>
      <c r="E3" s="11" t="s">
        <v>3</v>
      </c>
      <c r="F3" s="11"/>
      <c r="G3" s="11"/>
      <c r="H3" s="11"/>
      <c r="I3" s="11"/>
      <c r="J3" s="11"/>
      <c r="K3" s="10" t="s">
        <v>4</v>
      </c>
      <c r="L3" s="10"/>
      <c r="M3" s="10"/>
      <c r="N3" s="9" t="s">
        <v>5</v>
      </c>
      <c r="O3" s="9"/>
      <c r="P3" s="9"/>
      <c r="Q3" s="8" t="s">
        <v>6</v>
      </c>
      <c r="R3" s="8"/>
      <c r="S3" s="8"/>
    </row>
    <row r="4" spans="1:19" ht="51.75" customHeight="1" x14ac:dyDescent="0.25">
      <c r="A4" s="15" t="s">
        <v>7</v>
      </c>
      <c r="B4" s="15" t="s">
        <v>8</v>
      </c>
      <c r="C4" s="15" t="s">
        <v>9</v>
      </c>
      <c r="D4" s="15" t="s">
        <v>10</v>
      </c>
      <c r="E4" s="16" t="s">
        <v>11</v>
      </c>
      <c r="F4" s="16" t="s">
        <v>12</v>
      </c>
      <c r="G4" s="16" t="s">
        <v>13</v>
      </c>
      <c r="H4" s="16" t="s">
        <v>14</v>
      </c>
      <c r="I4" s="16" t="s">
        <v>15</v>
      </c>
      <c r="J4" s="16" t="s">
        <v>16</v>
      </c>
      <c r="K4" s="17" t="s">
        <v>17</v>
      </c>
      <c r="L4" s="17" t="s">
        <v>18</v>
      </c>
      <c r="M4" s="17" t="s">
        <v>19</v>
      </c>
      <c r="N4" s="18" t="s">
        <v>20</v>
      </c>
      <c r="O4" s="18" t="s">
        <v>21</v>
      </c>
      <c r="P4" s="18" t="s">
        <v>22</v>
      </c>
      <c r="Q4" s="19" t="s">
        <v>23</v>
      </c>
      <c r="R4" s="19" t="s">
        <v>24</v>
      </c>
      <c r="S4" s="19" t="s">
        <v>25</v>
      </c>
    </row>
    <row r="5" spans="1:19" ht="13.5" customHeight="1" x14ac:dyDescent="0.25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55.5" customHeight="1" x14ac:dyDescent="0.25">
      <c r="A6" s="20">
        <v>1</v>
      </c>
      <c r="B6" s="21" t="s">
        <v>27</v>
      </c>
      <c r="C6" s="21" t="s">
        <v>28</v>
      </c>
      <c r="D6" s="21" t="s">
        <v>29</v>
      </c>
      <c r="E6" s="20">
        <v>112</v>
      </c>
      <c r="F6" s="20" t="s">
        <v>30</v>
      </c>
      <c r="G6" s="22">
        <v>4</v>
      </c>
      <c r="H6" s="20">
        <v>5</v>
      </c>
      <c r="I6" s="20" t="s">
        <v>30</v>
      </c>
      <c r="J6" s="20" t="s">
        <v>31</v>
      </c>
      <c r="K6" s="20">
        <v>180</v>
      </c>
      <c r="L6" s="23">
        <v>4.2</v>
      </c>
      <c r="M6" s="20">
        <v>1840</v>
      </c>
      <c r="N6" s="24" t="s">
        <v>32</v>
      </c>
      <c r="O6" s="24" t="s">
        <v>33</v>
      </c>
      <c r="P6" s="24" t="s">
        <v>34</v>
      </c>
      <c r="Q6" s="24" t="s">
        <v>35</v>
      </c>
      <c r="R6" s="24" t="s">
        <v>36</v>
      </c>
      <c r="S6" s="25" t="s">
        <v>37</v>
      </c>
    </row>
    <row r="7" spans="1:19" ht="55.5" customHeight="1" x14ac:dyDescent="0.25">
      <c r="A7" s="26">
        <v>2</v>
      </c>
      <c r="B7" s="27" t="s">
        <v>38</v>
      </c>
      <c r="C7" s="27" t="s">
        <v>39</v>
      </c>
      <c r="D7" s="27" t="s">
        <v>40</v>
      </c>
      <c r="E7" s="26">
        <v>98</v>
      </c>
      <c r="F7" s="26" t="s">
        <v>30</v>
      </c>
      <c r="G7" s="23">
        <v>6</v>
      </c>
      <c r="H7" s="26">
        <v>5</v>
      </c>
      <c r="I7" s="26" t="s">
        <v>30</v>
      </c>
      <c r="J7" s="26" t="s">
        <v>30</v>
      </c>
      <c r="K7" s="26">
        <v>299</v>
      </c>
      <c r="L7" s="23">
        <v>4.4000000000000004</v>
      </c>
      <c r="M7" s="26">
        <v>3200</v>
      </c>
      <c r="N7" s="28" t="s">
        <v>41</v>
      </c>
      <c r="O7" s="28" t="s">
        <v>42</v>
      </c>
      <c r="P7" s="28" t="s">
        <v>43</v>
      </c>
      <c r="Q7" s="28" t="s">
        <v>44</v>
      </c>
      <c r="R7" s="28" t="s">
        <v>45</v>
      </c>
      <c r="S7" s="25" t="s">
        <v>37</v>
      </c>
    </row>
    <row r="8" spans="1:19" ht="55.5" customHeight="1" x14ac:dyDescent="0.25">
      <c r="A8" s="20">
        <v>3</v>
      </c>
      <c r="B8" s="21" t="s">
        <v>46</v>
      </c>
      <c r="C8" s="21" t="s">
        <v>47</v>
      </c>
      <c r="D8" s="21" t="s">
        <v>48</v>
      </c>
      <c r="E8" s="20">
        <v>156</v>
      </c>
      <c r="F8" s="20" t="s">
        <v>49</v>
      </c>
      <c r="G8" s="25">
        <v>3</v>
      </c>
      <c r="H8" s="20">
        <v>4</v>
      </c>
      <c r="I8" s="20" t="s">
        <v>30</v>
      </c>
      <c r="J8" s="20" t="s">
        <v>31</v>
      </c>
      <c r="K8" s="20">
        <v>249</v>
      </c>
      <c r="L8" s="22">
        <v>3.9</v>
      </c>
      <c r="M8" s="20">
        <v>640</v>
      </c>
      <c r="N8" s="24" t="s">
        <v>50</v>
      </c>
      <c r="O8" s="24" t="s">
        <v>51</v>
      </c>
      <c r="P8" s="24" t="s">
        <v>52</v>
      </c>
      <c r="Q8" s="24" t="s">
        <v>53</v>
      </c>
      <c r="R8" s="24" t="s">
        <v>54</v>
      </c>
      <c r="S8" s="25" t="s">
        <v>37</v>
      </c>
    </row>
    <row r="9" spans="1:19" ht="55.5" customHeight="1" x14ac:dyDescent="0.25">
      <c r="A9" s="26">
        <v>4</v>
      </c>
      <c r="B9" s="27" t="s">
        <v>55</v>
      </c>
      <c r="C9" s="27" t="s">
        <v>56</v>
      </c>
      <c r="D9" s="27" t="s">
        <v>57</v>
      </c>
      <c r="E9" s="26">
        <v>134</v>
      </c>
      <c r="F9" s="26" t="s">
        <v>30</v>
      </c>
      <c r="G9" s="22">
        <v>5</v>
      </c>
      <c r="H9" s="26">
        <v>5</v>
      </c>
      <c r="I9" s="26" t="s">
        <v>30</v>
      </c>
      <c r="J9" s="26" t="s">
        <v>31</v>
      </c>
      <c r="K9" s="26">
        <v>349</v>
      </c>
      <c r="L9" s="22">
        <v>4.0999999999999996</v>
      </c>
      <c r="M9" s="26">
        <v>420</v>
      </c>
      <c r="N9" s="28" t="s">
        <v>58</v>
      </c>
      <c r="O9" s="28" t="s">
        <v>59</v>
      </c>
      <c r="P9" s="28" t="s">
        <v>60</v>
      </c>
      <c r="Q9" s="28" t="s">
        <v>61</v>
      </c>
      <c r="R9" s="28" t="s">
        <v>62</v>
      </c>
      <c r="S9" s="29" t="s">
        <v>63</v>
      </c>
    </row>
    <row r="10" spans="1:19" ht="55.5" customHeight="1" x14ac:dyDescent="0.25">
      <c r="A10" s="20">
        <v>5</v>
      </c>
      <c r="B10" s="21" t="s">
        <v>64</v>
      </c>
      <c r="C10" s="21" t="s">
        <v>65</v>
      </c>
      <c r="D10" s="21" t="s">
        <v>66</v>
      </c>
      <c r="E10" s="20">
        <v>187</v>
      </c>
      <c r="F10" s="20" t="s">
        <v>30</v>
      </c>
      <c r="G10" s="23">
        <v>7</v>
      </c>
      <c r="H10" s="20">
        <v>5</v>
      </c>
      <c r="I10" s="20" t="s">
        <v>30</v>
      </c>
      <c r="J10" s="20" t="s">
        <v>30</v>
      </c>
      <c r="K10" s="20">
        <v>1499</v>
      </c>
      <c r="L10" s="23">
        <v>4.3</v>
      </c>
      <c r="M10" s="20">
        <v>2870</v>
      </c>
      <c r="N10" s="24" t="s">
        <v>67</v>
      </c>
      <c r="O10" s="24" t="s">
        <v>68</v>
      </c>
      <c r="P10" s="24" t="s">
        <v>69</v>
      </c>
      <c r="Q10" s="24" t="s">
        <v>70</v>
      </c>
      <c r="R10" s="24" t="s">
        <v>71</v>
      </c>
      <c r="S10" s="25" t="s">
        <v>37</v>
      </c>
    </row>
    <row r="11" spans="1:19" ht="55.5" customHeight="1" x14ac:dyDescent="0.25">
      <c r="A11" s="26">
        <v>6</v>
      </c>
      <c r="B11" s="27" t="s">
        <v>72</v>
      </c>
      <c r="C11" s="27" t="s">
        <v>73</v>
      </c>
      <c r="D11" s="27" t="s">
        <v>74</v>
      </c>
      <c r="E11" s="26">
        <v>165</v>
      </c>
      <c r="F11" s="26" t="s">
        <v>30</v>
      </c>
      <c r="G11" s="22">
        <v>5</v>
      </c>
      <c r="H11" s="26">
        <v>4</v>
      </c>
      <c r="I11" s="26" t="s">
        <v>30</v>
      </c>
      <c r="J11" s="26" t="s">
        <v>31</v>
      </c>
      <c r="K11" s="26">
        <v>1299</v>
      </c>
      <c r="L11" s="22">
        <v>4</v>
      </c>
      <c r="M11" s="26">
        <v>312</v>
      </c>
      <c r="N11" s="28" t="s">
        <v>75</v>
      </c>
      <c r="O11" s="28" t="s">
        <v>76</v>
      </c>
      <c r="P11" s="28" t="s">
        <v>77</v>
      </c>
      <c r="Q11" s="28" t="s">
        <v>78</v>
      </c>
      <c r="R11" s="28" t="s">
        <v>79</v>
      </c>
      <c r="S11" s="25" t="s">
        <v>37</v>
      </c>
    </row>
    <row r="12" spans="1:19" ht="55.5" customHeight="1" x14ac:dyDescent="0.25">
      <c r="A12" s="20">
        <v>7</v>
      </c>
      <c r="B12" s="21" t="s">
        <v>80</v>
      </c>
      <c r="C12" s="21" t="s">
        <v>81</v>
      </c>
      <c r="D12" s="21" t="s">
        <v>82</v>
      </c>
      <c r="E12" s="20">
        <v>192</v>
      </c>
      <c r="F12" s="20" t="s">
        <v>30</v>
      </c>
      <c r="G12" s="23">
        <v>7</v>
      </c>
      <c r="H12" s="20">
        <v>5</v>
      </c>
      <c r="I12" s="20" t="s">
        <v>30</v>
      </c>
      <c r="J12" s="20" t="s">
        <v>30</v>
      </c>
      <c r="K12" s="20">
        <v>1199</v>
      </c>
      <c r="L12" s="23">
        <v>4.3</v>
      </c>
      <c r="M12" s="20">
        <v>5640</v>
      </c>
      <c r="N12" s="24" t="s">
        <v>83</v>
      </c>
      <c r="O12" s="24" t="s">
        <v>84</v>
      </c>
      <c r="P12" s="24" t="s">
        <v>85</v>
      </c>
      <c r="Q12" s="24" t="s">
        <v>86</v>
      </c>
      <c r="R12" s="24" t="s">
        <v>87</v>
      </c>
      <c r="S12" s="29" t="s">
        <v>63</v>
      </c>
    </row>
    <row r="13" spans="1:19" ht="55.5" customHeight="1" x14ac:dyDescent="0.25">
      <c r="A13" s="26">
        <v>8</v>
      </c>
      <c r="B13" s="27" t="s">
        <v>88</v>
      </c>
      <c r="C13" s="27" t="s">
        <v>89</v>
      </c>
      <c r="D13" s="27" t="s">
        <v>90</v>
      </c>
      <c r="E13" s="26">
        <v>143</v>
      </c>
      <c r="F13" s="26" t="s">
        <v>49</v>
      </c>
      <c r="G13" s="22">
        <v>4</v>
      </c>
      <c r="H13" s="26">
        <v>3</v>
      </c>
      <c r="I13" s="26" t="s">
        <v>30</v>
      </c>
      <c r="J13" s="26" t="s">
        <v>31</v>
      </c>
      <c r="K13" s="26">
        <v>899</v>
      </c>
      <c r="L13" s="22">
        <v>4</v>
      </c>
      <c r="M13" s="26">
        <v>14</v>
      </c>
      <c r="N13" s="28" t="s">
        <v>91</v>
      </c>
      <c r="O13" s="28" t="s">
        <v>92</v>
      </c>
      <c r="P13" s="28" t="s">
        <v>93</v>
      </c>
      <c r="Q13" s="28" t="s">
        <v>94</v>
      </c>
      <c r="R13" s="28" t="s">
        <v>95</v>
      </c>
      <c r="S13" s="25" t="s">
        <v>37</v>
      </c>
    </row>
    <row r="15" spans="1:19" ht="21.75" customHeight="1" x14ac:dyDescent="0.25">
      <c r="A15" s="6" t="s">
        <v>96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60" customHeight="1" x14ac:dyDescent="0.25">
      <c r="A16" s="5" t="s">
        <v>97</v>
      </c>
      <c r="B16" s="5"/>
      <c r="C16" s="5"/>
      <c r="D16" s="4" t="s">
        <v>98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8" spans="1:19" ht="60" customHeight="1" x14ac:dyDescent="0.25">
      <c r="A18" s="3" t="s">
        <v>99</v>
      </c>
      <c r="B18" s="3"/>
      <c r="C18" s="3"/>
      <c r="D18" s="4" t="s">
        <v>100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20" spans="1:19" ht="60" customHeight="1" x14ac:dyDescent="0.25">
      <c r="A20" s="2" t="s">
        <v>101</v>
      </c>
      <c r="B20" s="2"/>
      <c r="C20" s="2"/>
      <c r="D20" s="4" t="s">
        <v>102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</sheetData>
  <mergeCells count="15">
    <mergeCell ref="A20:C20"/>
    <mergeCell ref="D20:S20"/>
    <mergeCell ref="A5:S5"/>
    <mergeCell ref="A15:S15"/>
    <mergeCell ref="A16:C16"/>
    <mergeCell ref="D16:S16"/>
    <mergeCell ref="A18:C18"/>
    <mergeCell ref="D18:S18"/>
    <mergeCell ref="A1:S1"/>
    <mergeCell ref="A2:S2"/>
    <mergeCell ref="A3:D3"/>
    <mergeCell ref="E3:J3"/>
    <mergeCell ref="K3:M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" customWidth="1"/>
    <col min="2" max="2" width="26" customWidth="1"/>
    <col min="3" max="3" width="12" customWidth="1"/>
    <col min="4" max="4" width="38" customWidth="1"/>
    <col min="5" max="5" width="28" customWidth="1"/>
    <col min="6" max="7" width="14" customWidth="1"/>
    <col min="8" max="8" width="9" customWidth="1"/>
    <col min="9" max="9" width="14" customWidth="1"/>
    <col min="10" max="10" width="30" customWidth="1"/>
  </cols>
  <sheetData>
    <row r="1" spans="1:10" ht="30" customHeight="1" x14ac:dyDescent="0.2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spans="1:10" ht="13.5" customHeight="1" x14ac:dyDescent="0.25">
      <c r="A2" s="13" t="s">
        <v>104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3.5" customHeight="1" x14ac:dyDescent="0.25">
      <c r="A3" s="46" t="s">
        <v>105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ht="36" customHeight="1" x14ac:dyDescent="0.25">
      <c r="A4" s="30" t="s">
        <v>106</v>
      </c>
      <c r="B4" s="30" t="s">
        <v>107</v>
      </c>
      <c r="C4" s="30" t="s">
        <v>108</v>
      </c>
      <c r="D4" s="30" t="s">
        <v>109</v>
      </c>
      <c r="E4" s="30" t="s">
        <v>110</v>
      </c>
      <c r="F4" s="30" t="s">
        <v>111</v>
      </c>
      <c r="G4" s="30" t="s">
        <v>112</v>
      </c>
      <c r="H4" s="30" t="s">
        <v>113</v>
      </c>
      <c r="I4" s="30" t="s">
        <v>114</v>
      </c>
      <c r="J4" s="30" t="s">
        <v>115</v>
      </c>
    </row>
    <row r="5" spans="1:10" ht="51.75" customHeight="1" x14ac:dyDescent="0.25">
      <c r="A5" s="31">
        <v>1</v>
      </c>
      <c r="B5" s="28" t="s">
        <v>116</v>
      </c>
      <c r="C5" s="31" t="s">
        <v>117</v>
      </c>
      <c r="D5" s="28" t="s">
        <v>118</v>
      </c>
      <c r="E5" s="28" t="s">
        <v>119</v>
      </c>
      <c r="F5" s="32" t="s">
        <v>120</v>
      </c>
      <c r="G5" s="31" t="s">
        <v>121</v>
      </c>
      <c r="H5" s="33" t="s">
        <v>63</v>
      </c>
      <c r="I5" s="34" t="s">
        <v>122</v>
      </c>
      <c r="J5" s="28" t="s">
        <v>123</v>
      </c>
    </row>
    <row r="6" spans="1:10" ht="51.75" customHeight="1" x14ac:dyDescent="0.25">
      <c r="A6" s="35">
        <v>2</v>
      </c>
      <c r="B6" s="24" t="s">
        <v>116</v>
      </c>
      <c r="C6" s="35" t="s">
        <v>117</v>
      </c>
      <c r="D6" s="24" t="s">
        <v>124</v>
      </c>
      <c r="E6" s="24" t="s">
        <v>125</v>
      </c>
      <c r="F6" s="32" t="s">
        <v>126</v>
      </c>
      <c r="G6" s="35" t="s">
        <v>127</v>
      </c>
      <c r="H6" s="36" t="s">
        <v>128</v>
      </c>
      <c r="I6" s="37" t="s">
        <v>129</v>
      </c>
      <c r="J6" s="24" t="s">
        <v>130</v>
      </c>
    </row>
    <row r="7" spans="1:10" ht="51.75" customHeight="1" x14ac:dyDescent="0.25">
      <c r="A7" s="31">
        <v>3</v>
      </c>
      <c r="B7" s="28" t="s">
        <v>131</v>
      </c>
      <c r="C7" s="31" t="s">
        <v>132</v>
      </c>
      <c r="D7" s="28" t="s">
        <v>133</v>
      </c>
      <c r="E7" s="28" t="s">
        <v>134</v>
      </c>
      <c r="F7" s="32" t="s">
        <v>126</v>
      </c>
      <c r="G7" s="31" t="s">
        <v>127</v>
      </c>
      <c r="H7" s="36" t="s">
        <v>128</v>
      </c>
      <c r="I7" s="37" t="s">
        <v>129</v>
      </c>
      <c r="J7" s="28" t="s">
        <v>135</v>
      </c>
    </row>
    <row r="8" spans="1:10" ht="51.75" customHeight="1" x14ac:dyDescent="0.25">
      <c r="A8" s="35">
        <v>4</v>
      </c>
      <c r="B8" s="24" t="s">
        <v>136</v>
      </c>
      <c r="C8" s="35" t="s">
        <v>117</v>
      </c>
      <c r="D8" s="24" t="s">
        <v>137</v>
      </c>
      <c r="E8" s="24" t="s">
        <v>138</v>
      </c>
      <c r="F8" s="32" t="s">
        <v>139</v>
      </c>
      <c r="G8" s="35" t="s">
        <v>140</v>
      </c>
      <c r="H8" s="33" t="s">
        <v>63</v>
      </c>
      <c r="I8" s="34" t="s">
        <v>122</v>
      </c>
      <c r="J8" s="24" t="s">
        <v>141</v>
      </c>
    </row>
    <row r="9" spans="1:10" ht="51.75" customHeight="1" x14ac:dyDescent="0.25">
      <c r="A9" s="31">
        <v>5</v>
      </c>
      <c r="B9" s="28" t="s">
        <v>142</v>
      </c>
      <c r="C9" s="31" t="s">
        <v>132</v>
      </c>
      <c r="D9" s="28" t="s">
        <v>143</v>
      </c>
      <c r="E9" s="28" t="s">
        <v>144</v>
      </c>
      <c r="F9" s="32" t="s">
        <v>120</v>
      </c>
      <c r="G9" s="31" t="s">
        <v>121</v>
      </c>
      <c r="H9" s="33" t="s">
        <v>63</v>
      </c>
      <c r="I9" s="34" t="s">
        <v>122</v>
      </c>
      <c r="J9" s="28" t="s">
        <v>145</v>
      </c>
    </row>
    <row r="10" spans="1:10" ht="51.75" customHeight="1" x14ac:dyDescent="0.25">
      <c r="A10" s="35">
        <v>6</v>
      </c>
      <c r="B10" s="24" t="s">
        <v>142</v>
      </c>
      <c r="C10" s="35" t="s">
        <v>117</v>
      </c>
      <c r="D10" s="24" t="s">
        <v>146</v>
      </c>
      <c r="E10" s="24" t="s">
        <v>147</v>
      </c>
      <c r="F10" s="32" t="s">
        <v>126</v>
      </c>
      <c r="G10" s="35" t="s">
        <v>148</v>
      </c>
      <c r="H10" s="36" t="s">
        <v>128</v>
      </c>
      <c r="I10" s="37" t="s">
        <v>129</v>
      </c>
      <c r="J10" s="24" t="s">
        <v>149</v>
      </c>
    </row>
    <row r="11" spans="1:10" ht="51.75" customHeight="1" x14ac:dyDescent="0.25">
      <c r="A11" s="31">
        <v>7</v>
      </c>
      <c r="B11" s="28" t="s">
        <v>150</v>
      </c>
      <c r="C11" s="31" t="s">
        <v>132</v>
      </c>
      <c r="D11" s="28" t="s">
        <v>151</v>
      </c>
      <c r="E11" s="28" t="s">
        <v>152</v>
      </c>
      <c r="F11" s="32" t="s">
        <v>153</v>
      </c>
      <c r="G11" s="31" t="s">
        <v>154</v>
      </c>
      <c r="H11" s="38" t="s">
        <v>37</v>
      </c>
      <c r="I11" s="34" t="s">
        <v>122</v>
      </c>
      <c r="J11" s="28" t="s">
        <v>155</v>
      </c>
    </row>
    <row r="12" spans="1:10" ht="51.75" customHeight="1" x14ac:dyDescent="0.25">
      <c r="A12" s="35">
        <v>8</v>
      </c>
      <c r="B12" s="24" t="s">
        <v>150</v>
      </c>
      <c r="C12" s="35" t="s">
        <v>117</v>
      </c>
      <c r="D12" s="24" t="s">
        <v>156</v>
      </c>
      <c r="E12" s="24" t="s">
        <v>157</v>
      </c>
      <c r="F12" s="32" t="s">
        <v>120</v>
      </c>
      <c r="G12" s="35" t="s">
        <v>121</v>
      </c>
      <c r="H12" s="33" t="s">
        <v>63</v>
      </c>
      <c r="I12" s="34" t="s">
        <v>122</v>
      </c>
      <c r="J12" s="24" t="s">
        <v>158</v>
      </c>
    </row>
    <row r="13" spans="1:10" ht="51.75" customHeight="1" x14ac:dyDescent="0.25">
      <c r="A13" s="31">
        <v>9</v>
      </c>
      <c r="B13" s="28" t="s">
        <v>159</v>
      </c>
      <c r="C13" s="31" t="s">
        <v>132</v>
      </c>
      <c r="D13" s="28" t="s">
        <v>160</v>
      </c>
      <c r="E13" s="28" t="s">
        <v>161</v>
      </c>
      <c r="F13" s="32" t="s">
        <v>126</v>
      </c>
      <c r="G13" s="31" t="s">
        <v>148</v>
      </c>
      <c r="H13" s="36" t="s">
        <v>128</v>
      </c>
      <c r="I13" s="39" t="s">
        <v>162</v>
      </c>
      <c r="J13" s="28" t="s">
        <v>163</v>
      </c>
    </row>
    <row r="14" spans="1:10" ht="51.75" customHeight="1" x14ac:dyDescent="0.25">
      <c r="A14" s="35">
        <v>10</v>
      </c>
      <c r="B14" s="24" t="s">
        <v>164</v>
      </c>
      <c r="C14" s="35" t="s">
        <v>117</v>
      </c>
      <c r="D14" s="24" t="s">
        <v>165</v>
      </c>
      <c r="E14" s="24" t="s">
        <v>166</v>
      </c>
      <c r="F14" s="32" t="s">
        <v>167</v>
      </c>
      <c r="G14" s="35" t="s">
        <v>168</v>
      </c>
      <c r="H14" s="38" t="s">
        <v>37</v>
      </c>
      <c r="I14" s="34" t="s">
        <v>122</v>
      </c>
      <c r="J14" s="24" t="s">
        <v>169</v>
      </c>
    </row>
    <row r="16" spans="1:10" ht="21.75" customHeight="1" x14ac:dyDescent="0.25">
      <c r="A16" s="6" t="s">
        <v>170</v>
      </c>
      <c r="B16" s="6"/>
      <c r="C16" s="6"/>
      <c r="D16" s="6"/>
      <c r="E16" s="6"/>
      <c r="F16" s="6"/>
      <c r="G16" s="6"/>
      <c r="H16" s="6"/>
      <c r="I16" s="6"/>
      <c r="J16" s="6"/>
    </row>
    <row r="17" spans="1:2" ht="60" x14ac:dyDescent="0.25">
      <c r="A17" s="40" t="s">
        <v>171</v>
      </c>
      <c r="B17" s="41">
        <f>COUNTA(A5:A14)</f>
        <v>10</v>
      </c>
    </row>
    <row r="18" spans="1:2" ht="72" x14ac:dyDescent="0.25">
      <c r="A18" s="42" t="s">
        <v>172</v>
      </c>
      <c r="B18" s="41">
        <f>COUNTIF(I5:I14,"🔴 Not Started")</f>
        <v>6</v>
      </c>
    </row>
    <row r="19" spans="1:2" ht="60" x14ac:dyDescent="0.25">
      <c r="A19" s="43" t="s">
        <v>173</v>
      </c>
      <c r="B19" s="41">
        <f>COUNTIF(I5:I14,"🟡 In Progress")</f>
        <v>3</v>
      </c>
    </row>
    <row r="20" spans="1:2" ht="36" x14ac:dyDescent="0.25">
      <c r="A20" s="44" t="s">
        <v>174</v>
      </c>
      <c r="B20" s="41">
        <f>COUNTIF(I5:I14,"🟢 Done")</f>
        <v>1</v>
      </c>
    </row>
    <row r="21" spans="1:2" ht="60" x14ac:dyDescent="0.25">
      <c r="A21" s="45" t="s">
        <v>175</v>
      </c>
      <c r="B21" s="41">
        <f>COUNTIF(H5:H14,"H")</f>
        <v>2</v>
      </c>
    </row>
  </sheetData>
  <mergeCells count="4">
    <mergeCell ref="A1:J1"/>
    <mergeCell ref="A2:J2"/>
    <mergeCell ref="A3:J3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Competitor Listing Audit</vt:lpstr>
      <vt:lpstr>Improvement Action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chandraarjun845@gmail.com</cp:lastModifiedBy>
  <cp:revision>0</cp:revision>
  <dcterms:created xsi:type="dcterms:W3CDTF">2026-06-12T07:33:03Z</dcterms:created>
  <dcterms:modified xsi:type="dcterms:W3CDTF">2026-06-13T07:34:27Z</dcterms:modified>
  <dc:language>en-US</dc:language>
</cp:coreProperties>
</file>